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usti\Documents\Fallout\"/>
    </mc:Choice>
  </mc:AlternateContent>
  <xr:revisionPtr revIDLastSave="0" documentId="8_{7DA499DA-ED51-4FFF-8D2C-076003F17C37}" xr6:coauthVersionLast="47" xr6:coauthVersionMax="47" xr10:uidLastSave="{00000000-0000-0000-0000-000000000000}"/>
  <bookViews>
    <workbookView xWindow="-108" yWindow="-108" windowWidth="30936" windowHeight="16776" xr2:uid="{9ED0B84C-8118-4C38-A16C-D3351F2942B2}"/>
  </bookViews>
  <sheets>
    <sheet name="BOM" sheetId="2" r:id="rId1"/>
  </sheets>
  <definedNames>
    <definedName name="ExternalData_1" localSheetId="0" hidden="1">BOM!$A$4:$H$64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 l="1" a="1"/>
  <c r="D2" i="2" s="1"/>
  <c r="G59" i="2" s="1"/>
  <c r="H129" i="2"/>
  <c r="H35" i="2" l="1"/>
  <c r="H20" i="2"/>
  <c r="H18" i="2"/>
  <c r="H48" i="2"/>
  <c r="H10" i="2"/>
  <c r="H5" i="2"/>
  <c r="H32" i="2"/>
  <c r="H63" i="2"/>
  <c r="H46" i="2"/>
  <c r="H61" i="2"/>
  <c r="H12" i="2"/>
  <c r="H9" i="2"/>
  <c r="H36" i="2"/>
  <c r="H34" i="2"/>
  <c r="H33" i="2"/>
  <c r="H31" i="2"/>
  <c r="H30" i="2"/>
  <c r="H60" i="2"/>
  <c r="H8" i="2"/>
  <c r="H19" i="2"/>
  <c r="H49" i="2"/>
  <c r="H64" i="2"/>
  <c r="H15" i="2"/>
  <c r="H45" i="2"/>
  <c r="H28" i="2"/>
  <c r="H27" i="2"/>
  <c r="H42" i="2"/>
  <c r="H57" i="2"/>
  <c r="H55" i="2"/>
  <c r="H7" i="2"/>
  <c r="H52" i="2"/>
  <c r="H50" i="2"/>
  <c r="H16" i="2"/>
  <c r="H14" i="2"/>
  <c r="H29" i="2"/>
  <c r="H44" i="2"/>
  <c r="H59" i="2"/>
  <c r="H43" i="2"/>
  <c r="H58" i="2"/>
  <c r="H26" i="2"/>
  <c r="H25" i="2"/>
  <c r="H40" i="2"/>
  <c r="H23" i="2"/>
  <c r="H54" i="2"/>
  <c r="H38" i="2"/>
  <c r="H22" i="2"/>
  <c r="H6" i="2"/>
  <c r="H51" i="2"/>
  <c r="H17" i="2"/>
  <c r="H47" i="2"/>
  <c r="H62" i="2"/>
  <c r="H13" i="2"/>
  <c r="H11" i="2"/>
  <c r="H41" i="2"/>
  <c r="H56" i="2"/>
  <c r="H24" i="2"/>
  <c r="H39" i="2"/>
  <c r="H53" i="2"/>
  <c r="H37" i="2"/>
  <c r="H21" i="2"/>
  <c r="F44" i="2"/>
  <c r="G56" i="2"/>
  <c r="G54" i="2"/>
  <c r="G38" i="2"/>
  <c r="F27" i="2"/>
  <c r="F16" i="2"/>
  <c r="G11" i="2"/>
  <c r="G53" i="2"/>
  <c r="G9" i="2"/>
  <c r="F63" i="2"/>
  <c r="F38" i="2"/>
  <c r="F59" i="2"/>
  <c r="F18" i="2"/>
  <c r="G55" i="2"/>
  <c r="F15" i="2"/>
  <c r="G10" i="2"/>
  <c r="G5" i="2"/>
  <c r="G8" i="2"/>
  <c r="F62" i="2"/>
  <c r="G6" i="2"/>
  <c r="F60" i="2"/>
  <c r="G64" i="2"/>
  <c r="F28" i="2"/>
  <c r="F17" i="2"/>
  <c r="G37" i="2"/>
  <c r="F42" i="2"/>
  <c r="F41" i="2"/>
  <c r="G35" i="2"/>
  <c r="G34" i="2"/>
  <c r="G51" i="2"/>
  <c r="G7" i="2"/>
  <c r="F37" i="2"/>
  <c r="G49" i="2"/>
  <c r="G46" i="2"/>
  <c r="G47" i="2"/>
  <c r="F34" i="2"/>
  <c r="F23" i="2"/>
  <c r="F7" i="2"/>
  <c r="F33" i="2"/>
  <c r="F57" i="2"/>
  <c r="G18" i="2"/>
  <c r="G43" i="2"/>
  <c r="G27" i="2"/>
  <c r="G63" i="2"/>
  <c r="F5" i="2"/>
  <c r="G30" i="2"/>
  <c r="G20" i="2"/>
  <c r="G19" i="2"/>
  <c r="F22" i="2"/>
  <c r="F48" i="2"/>
  <c r="F32" i="2"/>
  <c r="F56" i="2"/>
  <c r="G17" i="2"/>
  <c r="G42" i="2"/>
  <c r="G26" i="2"/>
  <c r="G62" i="2"/>
  <c r="G13" i="2"/>
  <c r="F51" i="2"/>
  <c r="F50" i="2"/>
  <c r="F25" i="2"/>
  <c r="F14" i="2"/>
  <c r="G52" i="2"/>
  <c r="G24" i="2"/>
  <c r="F12" i="2"/>
  <c r="G50" i="2"/>
  <c r="F11" i="2"/>
  <c r="G22" i="2"/>
  <c r="F10" i="2"/>
  <c r="G48" i="2"/>
  <c r="F9" i="2"/>
  <c r="G29" i="2"/>
  <c r="G28" i="2"/>
  <c r="F21" i="2"/>
  <c r="F47" i="2"/>
  <c r="F31" i="2"/>
  <c r="F55" i="2"/>
  <c r="G16" i="2"/>
  <c r="G41" i="2"/>
  <c r="G25" i="2"/>
  <c r="G61" i="2"/>
  <c r="F43" i="2"/>
  <c r="G36" i="2"/>
  <c r="F40" i="2"/>
  <c r="F13" i="2"/>
  <c r="G32" i="2"/>
  <c r="F61" i="2"/>
  <c r="G21" i="2"/>
  <c r="F35" i="2"/>
  <c r="F24" i="2"/>
  <c r="F58" i="2"/>
  <c r="F20" i="2"/>
  <c r="F46" i="2"/>
  <c r="F30" i="2"/>
  <c r="F54" i="2"/>
  <c r="G15" i="2"/>
  <c r="G40" i="2"/>
  <c r="G58" i="2"/>
  <c r="G60" i="2"/>
  <c r="F52" i="2"/>
  <c r="G12" i="2"/>
  <c r="F26" i="2"/>
  <c r="F49" i="2"/>
  <c r="F64" i="2"/>
  <c r="F39" i="2"/>
  <c r="G33" i="2"/>
  <c r="G23" i="2"/>
  <c r="G31" i="2"/>
  <c r="F36" i="2"/>
  <c r="F6" i="2"/>
  <c r="G45" i="2"/>
  <c r="F8" i="2"/>
  <c r="G44" i="2"/>
  <c r="F19" i="2"/>
  <c r="F45" i="2"/>
  <c r="F29" i="2"/>
  <c r="F53" i="2"/>
  <c r="G14" i="2"/>
  <c r="G39" i="2"/>
  <c r="G57" i="2"/>
  <c r="H65"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40C4013-90EA-4BE0-B06C-7A6CDB8CCDBC}" keepAlive="1" name="Query - BOM" description="Connection to the 'BOM' query in the workbook." type="5" refreshedVersion="8" background="1" saveData="1">
    <dbPr connection="Provider=Microsoft.Mashup.OleDb.1;Data Source=$Workbook$;Location=BOM;Extended Properties=&quot;&quot;" command="SELECT * FROM [BOM]"/>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1"/>
        </ext>
      </extLst>
    </bk>
  </futureMetadata>
  <cellMetadata count="1">
    <bk>
      <rc t="1" v="0"/>
    </bk>
  </cellMetadata>
  <valueMetadata count="1">
    <bk>
      <rc t="2" v="0"/>
    </bk>
  </valueMetadata>
</metadata>
</file>

<file path=xl/sharedStrings.xml><?xml version="1.0" encoding="utf-8"?>
<sst xmlns="http://schemas.openxmlformats.org/spreadsheetml/2006/main" count="578" uniqueCount="295">
  <si>
    <t>Talos-01 BOM - English Ver.</t>
  </si>
  <si>
    <t/>
  </si>
  <si>
    <t>Product Name</t>
  </si>
  <si>
    <t>Shop Name</t>
  </si>
  <si>
    <t>Product Link</t>
  </si>
  <si>
    <t>Model/Style</t>
  </si>
  <si>
    <t>Quantity</t>
  </si>
  <si>
    <t>Price</t>
  </si>
  <si>
    <t>Shipping</t>
  </si>
  <si>
    <t>Total Paid</t>
  </si>
  <si>
    <t>Magnetic connector headphone charging test pogo pin male/female seat bending magnetic contact connector</t>
  </si>
  <si>
    <t>Magnetic Connector Factory</t>
  </si>
  <si>
    <t>https://item.taobao.com/item.htm?id=967973228845&amp;mi_id=0000dP5WTQXG0I7vH5X_Ydhq5s0iQZkS_tNXumfksJTPonI</t>
  </si>
  <si>
    <t>6PIN magnetic male and female seat with ears</t>
  </si>
  <si>
    <t>2</t>
  </si>
  <si>
    <t>DC voltmeter 85C1-V pointer type panel meter small mechanical voltmeter 1~3KV maintenance voltage</t>
  </si>
  <si>
    <t>Shanghai Kailan Electronics Appliance City</t>
  </si>
  <si>
    <t>https://item.taobao.com/item.htm?id=44135586571&amp;mi_id=00001DTFeGPFUpezEjtIe03bB4FG2OgNWSUs-ZL1y1orX_o</t>
  </si>
  <si>
    <t>DC 5V [small backpack installation]</t>
  </si>
  <si>
    <t>1</t>
  </si>
  <si>
    <t>2A boost board MT3608 DC-DC boost module wide voltage input 2/24V to 5/9/12/28V adjustable</t>
  </si>
  <si>
    <t>Jiexingtai Electronics</t>
  </si>
  <si>
    <t>https://item.taobao.com/item.htm?id=750521428831&amp;mi_id=0000QLfbRusppoZ5L3Hk-N6dzvrU2aVzgi31nwf8Mxkg2wY</t>
  </si>
  <si>
    <t>2A boost board ordinary version</t>
  </si>
  <si>
    <t>Dual row female 2.54mm single row female pin header socket pin socket 2.0 1/2/3/4/6/10-40P</t>
  </si>
  <si>
    <t>risym Flagship Store</t>
  </si>
  <si>
    <t>https://item.taobao.com/item.htm?id=13321689910&amp;mi_id=0000zBT8A9SbSDr9g4xKMuYBd1VPltWhF3ooy89De02d80w</t>
  </si>
  <si>
    <t>1x40p 2.54MM straight plug single row female black 10 pcs</t>
  </si>
  <si>
    <t>Single row pin dual row pin copper pitch 2.54MM 1*2/3/4/5/6/7/8/10/12/20/30P gold-plated pin header</t>
  </si>
  <si>
    <t>https://item.taobao.com/item.htm?id=593411651824&amp;mi_id=0000Vjh92FhASkqdCqMsB0w4lZPbaVtgvNVa8m1RhBsvYYI</t>
  </si>
  <si>
    <t>1*40P copper pin header single row pin 2.54MM 10 pcs</t>
  </si>
  <si>
    <t>Metal button switch self-locking self-resetting waterproof small round LED with power light car 12/16/19/22mm</t>
  </si>
  <si>
    <t>Batu Electrical</t>
  </si>
  <si>
    <t>https://item.taobao.com/item.htm?id=787575307428&amp;mi_id=0000SrakGE6Ta8cnR4z-qqP9_8M4-_07lZEEMygU7y21WoA</t>
  </si>
  <si>
    <t>Ring yellow light flat button; 12mm; 3-6V; self-resetting (without wire)</t>
  </si>
  <si>
    <t>AMS1117 power module 1.2V 1.5V 1.8V 2.5V 3.3V 5.0V voltage regulator buck module</t>
  </si>
  <si>
    <t>https://item.taobao.com/item.htm?id=760134372596&amp;mi_id=0000W7khg-MKXC5sSCPM0m9VD-GwyehPIXSvCwgk8vheZiU</t>
  </si>
  <si>
    <t>3.3V</t>
  </si>
  <si>
    <t>TP4056 1A lithium battery charging board Type-C charging module USB interface charging protection 2-in-1</t>
  </si>
  <si>
    <t>https://item.taobao.com/item.htm?id=737840642554&amp;mi_id=00009tPMM3bp4mCe1-_46s8eR08YY2WIOcVzPhGXQhR3tDA</t>
  </si>
  <si>
    <t>TYPE-C interface</t>
  </si>
  <si>
    <t>HAKKO soldering iron FX-888D constant temperature welding station set combo hako 936 upgrade version</t>
  </si>
  <si>
    <t>Dongguan Rongbute Electronics</t>
  </si>
  <si>
    <t>https://item.taobao.com/item.htm?id=771567441346&amp;mi_id=00007zS6C82LFO-RPV2RqEHwDoa2ipatn2IGFoVbZ5NqTgg</t>
  </si>
  <si>
    <t>None</t>
  </si>
  <si>
    <t>Deer Fairy ceramic tweezers stainless steel jump wire phone repair curved anti-static high temperature resistant precision pointed clip</t>
  </si>
  <si>
    <t>Deer Fairy Flagship Store</t>
  </si>
  <si>
    <t>https://item.taobao.com/item.htm?id=877710167002&amp;mi_id=0000CZDre2l2qmzBcid2yJMas94wjfCk1RbuV_PRzDKVk94</t>
  </si>
  <si>
    <t>Stainless steel [curved head 15°] replaceable head ceramic tweezers</t>
  </si>
  <si>
    <t>[Discount Price] Deer Fairy powerful desoldering pump large suction solder sucker desoldering gun soldering iron solder suction gun artifact large welding gun</t>
  </si>
  <si>
    <t>https://item.taobao.com/item.htm?id=885201544620&amp;mi_id=00003J7hEpj2aXAzcGr3s2KP3jJ2Faw7xFzt9oooRChRjqw</t>
  </si>
  <si>
    <t>Blue (single ring anti-slip) desoldering pump + 2 high-temperature hoses</t>
  </si>
  <si>
    <t>Deer Fairy desoldering wick desoldering wire welding phone repair motherboard powerful tool solder remover wick solder removal strip</t>
  </si>
  <si>
    <t>https://item.taobao.com/item.htm?id=670202327708&amp;mi_id=0000VMHYgk862-rXI6NLqDHiKvbWXDfWBU0W87ZWG83NIbY</t>
  </si>
  <si>
    <t>Desoldering wick 3030 [width 3.0mm, length 3 meters]</t>
  </si>
  <si>
    <t>Deer Fairy multifunctional soldering station welding workbench PCB motherboard repair clip bracket circuit board fixing fixture</t>
  </si>
  <si>
    <t>https://item.taobao.com/item.htm?id=648692766840&amp;mi_id=0000CHXzjjASBsSsCYVmDv_LoEK2MRuJueRAYcXJC7orVmY</t>
  </si>
  <si>
    <t>[Upgraded Version] Magnifier + 2 PCB clips + 4 magnetic pillars</t>
  </si>
  <si>
    <t>YORK951 flux pen clean-free eco-friendly flux pen contains flux rosin welding water pen KESTER-951</t>
  </si>
  <si>
    <t>Deloda</t>
  </si>
  <si>
    <t>https://item.taobao.com/item.htm?id=21085979118&amp;mi_id=0000-MTu42Ct_88zsefU-EvPF0P6RUtKMLorFzp8Jmc-5Ls</t>
  </si>
  <si>
    <t>951 flux pen (including flux) 1 pc</t>
  </si>
  <si>
    <t>Japan Hirosaki solder wire hollow core with rosin 0.3 0.8mm low temperature 63A household soldering iron solder wire 1.0</t>
  </si>
  <si>
    <t>Japan Hirosaki Solder Wire</t>
  </si>
  <si>
    <t>https://item.taobao.com/item.htm?id=614104575953&amp;mi_id=0000LwkPqDSnsJ5C-W6j35gwey5juJwcHSw6YsBIHJ2c8Uw</t>
  </si>
  <si>
    <t>New formula Hirosaki 100g 0.8mm</t>
  </si>
  <si>
    <t>8PIN 2.0 interface set</t>
  </si>
  <si>
    <t>Beijing DWIN Technology Co., Ltd.</t>
  </si>
  <si>
    <t>https://item.taobao.com/item.htm?id=679117523470&amp;mi_id=000051djblsPwWjP3m7OB70fAEBWJR7gVs6LWJL3Ji1YNaw</t>
  </si>
  <si>
    <t>8PIN 2.0 interface kit (SD003)</t>
  </si>
  <si>
    <t>Germany miniature linear guide rail slider linear rail MGN9H MGW12H 12C 9C 7C 15C 7H 15H 5C</t>
  </si>
  <si>
    <t>muh Flagship Store</t>
  </si>
  <si>
    <t>https://item.taobao.com/item.htm?id=709992228016&amp;mi_id=0000TC3Zk1LKhzDRXKNZjh8QYhXsKl36i8zeHX94f5BIvj4</t>
  </si>
  <si>
    <t>MGN7H extended block</t>
  </si>
  <si>
    <t>MGN7 guide rail = 100MM = 10 cm</t>
  </si>
  <si>
    <t>5</t>
  </si>
  <si>
    <t>[Discount Price] Tu Ba hot melt nut injection molded copper nut insert M1 M2 M3 M4 M5 M6 M8 knurled copper brass nut insert copper flower nut</t>
  </si>
  <si>
    <t>Jinchao Official Flagship Store</t>
  </si>
  <si>
    <t>https://item.taobao.com/item.htm?id=899448134936&amp;mi_id=0000AVWTP2dR4v7cySY2gN0jhyNPGDcukdYXTkl0e3PFYUw</t>
  </si>
  <si>
    <t>M3*10*4.2 (20 pcs)</t>
  </si>
  <si>
    <t>M3*8*4.2 (50 pcs)</t>
  </si>
  <si>
    <t>M3*6*4.2 (50 pcs)</t>
  </si>
  <si>
    <t>M3*4*4.2 (50 pcs)</t>
  </si>
  <si>
    <t>M2*10*3.2 (20 pcs)</t>
  </si>
  <si>
    <t>M2*8*3.2 (50 pcs)</t>
  </si>
  <si>
    <t>M2*6*3.2 (50 pcs)</t>
  </si>
  <si>
    <t>M2*4*3.2 (50 pcs)</t>
  </si>
  <si>
    <t>[Discount Price] Black 304 stainless steel thin head hex socket screw DIN7984 low head extended bolt M3 M4 M5 M6-M12</t>
  </si>
  <si>
    <t>https://item.taobao.com/item.htm?id=919963730201&amp;mi_id=0000wfQIEtu2brUUX1wn4mgbTA1ZvnsqlMsEbjSvCQMIi5I</t>
  </si>
  <si>
    <t>M3*10 (50 pcs) black</t>
  </si>
  <si>
    <t>M3*8 (50 pcs) black</t>
  </si>
  <si>
    <t>M3*6 (50 pcs) black</t>
  </si>
  <si>
    <t>M3*4 (50 pcs) black</t>
  </si>
  <si>
    <t>M2*10 (50 pcs) black</t>
  </si>
  <si>
    <t>M2*8 (50 pcs) black</t>
  </si>
  <si>
    <t>M2*6 (100 pcs) black</t>
  </si>
  <si>
    <t>M2*4 (100 pcs) black</t>
  </si>
  <si>
    <t>Suning 18650 lithium battery charger large capacity 3.7V strong light flashlight small fan 4.2V headlamp 1956</t>
  </si>
  <si>
    <t>Suning.com Official Flagship Store</t>
  </si>
  <si>
    <t>https://item.taobao.com/item.htm?id=680631931401&amp;mi_id=0000up_bZ4rBHAF6a9xfPZI9An4nQ7YqbCz8SmJ1ZvJMKyo</t>
  </si>
  <si>
    <t>2 pcs 12950mWh flat head + 1 free pc of the same model</t>
  </si>
  <si>
    <t>IP5328P power bank bidirectional fast charging module mobile power supply motherboard 3.7V to 5V 9V 12V boost</t>
  </si>
  <si>
    <t>https://item.taobao.com/item.htm?id=762091560429&amp;mi_id=0000N4uhMfsTosbRSh8ijryQb1e9jh5J_v95H6g1r-xapis</t>
  </si>
  <si>
    <t>ESP32 S3 core board onboard 1-N16R8 N8R2 N8R8 S3-DevKitC-1 module development board</t>
  </si>
  <si>
    <t>https://item.taobao.com/item.htm?id=915770459444&amp;mi_id=00008Oadm_aelho2DRlb8bJNo6W4r6uRG_Y7ltcMmenEI8I</t>
  </si>
  <si>
    <t>With antenna ESP32-S3 N16R8 (soldered)</t>
  </si>
  <si>
    <t>MT6701 magnetic encoder magnetic induction angle measurement sensor module 14bit high precision replacement for AS5600</t>
  </si>
  <si>
    <t>https://item.taobao.com/item.htm?id=975995430628&amp;mi_id=0000EtpM_zcjoxqqaqOXuht9qLpvVA6S97B8qdwQW50_ClQ</t>
  </si>
  <si>
    <t>Soldered pin header</t>
  </si>
  <si>
    <t>Outemu dustproof mechanical keyboard switch body blue red brown black purple green silver silent white gray switch tester accessories</t>
  </si>
  <si>
    <t>Xinyang Peripherals</t>
  </si>
  <si>
    <t>https://item.taobao.com/item.htm?id=626986550029&amp;mi_id=0000RZiwN3ZjuEFQudAkEa4fWPEYpJ16L67EjDaBqRiPECw</t>
  </si>
  <si>
    <t>Standard brown switch 10 pcs</t>
  </si>
  <si>
    <t>MAX17048 fuel gauge and battery monitor STEMMA JST PH &amp; QT/Qwiic</t>
  </si>
  <si>
    <t>Mairui Electronic Module Manufacturer</t>
  </si>
  <si>
    <t>https://item.taobao.com/item.htm?id=951093914740&amp;mi_id=0000k0jvHAfAOS7Ch27KzUuoPxfI-q5XTf3ewnWANtzkwEU</t>
  </si>
  <si>
    <t>Phone bracelet vibrator motor 0827/1027/30/34 flat SMD coreless motor with wire motor</t>
  </si>
  <si>
    <t>Tejiate Digital Specialty Store</t>
  </si>
  <si>
    <t>https://item.taobao.com/item.htm?id=577868295040&amp;mi_id=0000lM7eSi2TP5ksuu8_aSCJ0wJxr-CtDZ260sWcrKAw8f8</t>
  </si>
  <si>
    <t>0827 motor outer diameter 8MM thickness 2.7MM</t>
  </si>
  <si>
    <t>DRV2605L Haptic Motor Controller motor driver module</t>
  </si>
  <si>
    <t>diymore Flagship Store</t>
  </si>
  <si>
    <t>https://item.taobao.com/item.htm?id=625769283873&amp;mi_id=0000dYrI9oAaaNza5KZnCp2uLJNBWOn1hk0TnZtvmLP_i9Q</t>
  </si>
  <si>
    <t>Multi-pole magnetic scale universal magnetic strip linear displacement sensor magnetic pitch 1/2/5mm optional</t>
  </si>
  <si>
    <t>Jingrui New Materials</t>
  </si>
  <si>
    <t>https://item.taobao.com/item.htm?id=959214645549&amp;mi_id=0000iSkNWQ9_zZYYMCZx7jYS2TGOp6L2E9Wd1w9yr66WnZ0</t>
  </si>
  <si>
    <t>Rubber magnet + stainless steel carrier strip; 2mm (1 meter version)</t>
  </si>
  <si>
    <t>[Discount Price] 3M double-sided tape strong adhesive sponge tape car automotive VHB waterproof traceless high viscosity fixed wall</t>
  </si>
  <si>
    <t>3M Haotie Franchise Store</t>
  </si>
  <si>
    <t>https://item.taobao.com/item.htm?id=592230232424&amp;mi_id=00008j5bKvSJA3P1qA8jCb1c3veSs9zoR-nn0LnJpvVY6K4</t>
  </si>
  <si>
    <t>1cm wide * 3m long [Upgraded Version]</t>
  </si>
  <si>
    <t>3J double-conductive copper foil tape pure copper double-sided conductive copper foil tape conductive tape shielding tape single-sided tape</t>
  </si>
  <si>
    <t>3J Flagship Store</t>
  </si>
  <si>
    <t>https://item.taobao.com/item.htm?id=19345387931&amp;mi_id=0000hlQYfR9Xe9cXOkc44Jl8TO-rl18MGN3d8GY7J_pschg</t>
  </si>
  <si>
    <t>0.05 thickness * 50mm width * 20 meters</t>
  </si>
  <si>
    <t>8.88 inch DWIN smart serial screen DMG19480C088_03W music playback touch WIFI optional</t>
  </si>
  <si>
    <t>https://item.taobao.com/item.htm?id=612878714371&amp;mi_id=0000x4pY52DyCK3LKtAEhQMRQ1HOrvuMhgBFA1qtSQ1ANcs</t>
  </si>
  <si>
    <t>DMG19480C088_03WN</t>
  </si>
  <si>
    <t>Ultra-narrow ultra-fine soft silicone light strip 24V line linear light embedded light slot linear 12V low voltage waterproof light bar</t>
  </si>
  <si>
    <t>Little Elephant Lighting</t>
  </si>
  <si>
    <t>https://item.taobao.com/item.htm?id=744195758598&amp;mi_id=0000TM6JlF2XVmrN5NDPt9uP6dzxaUTPit0QgpJKFQNRh-8</t>
  </si>
  <si>
    <t>12V low voltage silicone (width 4MM * thickness 8MM) 1 meter price; yellow</t>
  </si>
  <si>
    <t>https://item.taobao.com/item.htm?id=967973228845&amp;mi_id=0000dP5WTQXG0I7vH5X_Ydhq5lHEpmYyR52N3VOM0XTfVhM</t>
  </si>
  <si>
    <t>4PIN magnetic male and female seat with ears</t>
  </si>
  <si>
    <t>High head metal button switch self-locking self-resetting round inching with light power button 12/16/19/22mm</t>
  </si>
  <si>
    <t>Maifeng Electrical</t>
  </si>
  <si>
    <t>https://item.taobao.com/item.htm?id=775942345988&amp;mi_id=0000fBujEKth7T8przXbv0YGbWno6hIV4wYrxPzSkRVOpik</t>
  </si>
  <si>
    <t>High head ring power red light; 22mm; 3-6V; self-resetting (without wire)</t>
  </si>
  <si>
    <t>Ultra-soft silicone wire high temperature resistant aero-modeling new energy tinned copper flexible wire 16 18 20 22 24 28 30AWG</t>
  </si>
  <si>
    <t>Benmu Flagship Store</t>
  </si>
  <si>
    <t>https://item.taobao.com/item.htm?id=694610952234&amp;mi_id=0000CusuiWOmBm7uZhGsQcjkEOZERzS7sxp4xUa_NCbA8IQ</t>
  </si>
  <si>
    <t>30AWG orange / 5 meters</t>
  </si>
  <si>
    <t>30AWG brown / 5 meters</t>
  </si>
  <si>
    <t>30AWG purple / 5 meters</t>
  </si>
  <si>
    <t>30AWG green / 5 meters</t>
  </si>
  <si>
    <t>30AWG red / 5 meters</t>
  </si>
  <si>
    <t>30AWG black / 5 meters</t>
  </si>
  <si>
    <t>FPC/FFC adapter board soldered 0.5mm/1.0mm pitch connector to DIP 2.54 flexible ribbon cable adapter socket</t>
  </si>
  <si>
    <t>Jieyisi Technology</t>
  </si>
  <si>
    <t>https://item.taobao.com/item.htm?id=746618533227&amp;mi_id=00007HqNMOH-SBp3ZIs_MDKsvHJirNOnjKdJgs0fI7jwAnk</t>
  </si>
  <si>
    <t>12P; 0.5mm; soldered FPC seat + straight pin</t>
  </si>
  <si>
    <t>12P; 0.5mm; soldered FPC seat + curved pin</t>
  </si>
  <si>
    <t>[Discount Price] 5 pieces FFC/FPC flexible ribbon cable flat connecting line 1.0/0.5mm same direction/reverse direction 10/16/20/24-40P</t>
  </si>
  <si>
    <t>zave Flagship Store</t>
  </si>
  <si>
    <t>https://item.taobao.com/item.htm?id=626935294271&amp;mi_id=0000jWbfPbht3VazZRBGt1Ti-8BnSstoswld-3j9rhs_dAY</t>
  </si>
  <si>
    <t>12P same direction 0.5mm pitch length 300mm (5 pcs)</t>
  </si>
  <si>
    <t>[Discount Price] PCF8574 module microcontroller I/O expansion board module PCF8574T module I2C interface</t>
  </si>
  <si>
    <t>https://item.taobao.com/item.htm?id=715839930914&amp;mi_id=0000NV-6Y2m-OwCSd2zIJt7fdC6Z219B8vEFcrRgCuQgchg</t>
  </si>
  <si>
    <t>PCF8574 module blue board</t>
  </si>
  <si>
    <t>Talos-01 BOM - Original Chinese Ver.</t>
  </si>
  <si>
    <t>商品名称</t>
  </si>
  <si>
    <t>店铺名称</t>
  </si>
  <si>
    <t>商品链接</t>
  </si>
  <si>
    <t>型号款式</t>
  </si>
  <si>
    <t>商品数量</t>
  </si>
  <si>
    <t>商品金额</t>
  </si>
  <si>
    <t>运费</t>
  </si>
  <si>
    <t>实付金额</t>
  </si>
  <si>
    <t>磁吸连接器耳机充电测试弹簧针pogopin公母座折弯磁吸触点连接器</t>
  </si>
  <si>
    <t>磁吸连接器工厂</t>
  </si>
  <si>
    <t>6PIN磁吸公母座带耳</t>
  </si>
  <si>
    <t>直流电压表85C1-V指针式表头安装式小型机械伏特表1~3KV维修电压</t>
  </si>
  <si>
    <t>上海凯蓝电子电器城</t>
  </si>
  <si>
    <t>直流5V[小背包安装]</t>
  </si>
  <si>
    <t>2A升压板 MT3608 DC-DC升压模块 宽压输入2/24V升5/9/12/28V可调</t>
  </si>
  <si>
    <t>捷兴泰电子</t>
  </si>
  <si>
    <t>2A升压板 普通版</t>
  </si>
  <si>
    <t>双排母2.54mm单排母排针母座排座针插座插针2.0 1/2/3/4/6/10-40P</t>
  </si>
  <si>
    <t>risym旗舰店</t>
  </si>
  <si>
    <t>1x40p 2.54MM直插单排母黑色 10个</t>
  </si>
  <si>
    <t>单排针双排针铜间距2.54MM1*2/3/4/5/6/7/8/10/12/20/30P镀金插针</t>
  </si>
  <si>
    <t>1*40P铜排针 单排针2.54MM 10条</t>
  </si>
  <si>
    <t>金属按钮开关自锁自复位防水小型圆形led带电源灯车12/16/19/22mm</t>
  </si>
  <si>
    <t>八图电气</t>
  </si>
  <si>
    <t>环形黄灯平钮;12mm;3-6V;自复位（不带线）</t>
  </si>
  <si>
    <t>AMS1117电源模块 1.2V 1.5V 1.8V 2.5V 3.3V 5.0V 稳压降压模块</t>
  </si>
  <si>
    <t>TP4056 1A锂电池充电板Type-C充电模块USB接口充电保护二合一</t>
  </si>
  <si>
    <t>TYPE-C接口</t>
  </si>
  <si>
    <t>HAKKO白光电烙铁FX-888D恒温电焊台套装组合 hako 936升级版</t>
  </si>
  <si>
    <t>东莞市荣步特电子</t>
  </si>
  <si>
    <t>暂无</t>
  </si>
  <si>
    <t>鹿仙子陶瓷镊子不锈钢飞线手机维修弯头防静电耐高温精密尖头夹子</t>
  </si>
  <si>
    <t>鹿仙子旗舰店</t>
  </si>
  <si>
    <t>不锈钢【弯头15°】可换头陶瓷镊子</t>
  </si>
  <si>
    <t>【优惠价】鹿仙子强力吸锡器大吸力吸焊器吸锡枪电烙铁焊锡吸枪神器大号焊枪</t>
  </si>
  <si>
    <t>蓝(单环防滑)吸锡器+2根高温软管</t>
  </si>
  <si>
    <t>鹿仙子吸锡带吸锡线焊接手机维修主板强力工具吸锡器除焊带去锡条</t>
  </si>
  <si>
    <t>吸锡线3030【宽3.0mm 长3米】</t>
  </si>
  <si>
    <t>鹿仙子多功能焊台焊接工作台pcb主板维修夹子支架电路板固定夹具</t>
  </si>
  <si>
    <t>【升级款】放大镜+2个PCB夹+4个磁柱</t>
  </si>
  <si>
    <t>YORK951助焊笔免清洗环保助焊笔含助焊剂松香焊接水笔KESTER-951</t>
  </si>
  <si>
    <t>德乐达deloda</t>
  </si>
  <si>
    <t>951助焊笔 （含助焊剂）1支</t>
  </si>
  <si>
    <t>日本广崎焊锡丝空芯带松香0.3 0.8mm低温63A家用电烙铁焊丝1.0</t>
  </si>
  <si>
    <t>日本广崎HIROSAKI锡丝</t>
  </si>
  <si>
    <t>新配方 广崎 100g 0.8mm</t>
  </si>
  <si>
    <t>8PIN2.0接口套装</t>
  </si>
  <si>
    <t>北京迪文科技有限公司</t>
  </si>
  <si>
    <t>8PIN2.0接口套件（SD003）</t>
  </si>
  <si>
    <t>德国微型直线导轨滑块线轨MGN9H MGW12H 12C 9C 7C 15C 7H 15H 5C</t>
  </si>
  <si>
    <t>muh旗舰店</t>
  </si>
  <si>
    <t>MGN7H 加长块</t>
  </si>
  <si>
    <t>MGN7导轨=100MM=10厘米</t>
  </si>
  <si>
    <t>【优惠价】土八热熔螺母注塑铜螺母镶件M1M2M3M4M5M6M8滚花铜螺帽嵌件铜花母</t>
  </si>
  <si>
    <t>金超官方旗舰店</t>
  </si>
  <si>
    <t>M3*10*4.2(20个)</t>
  </si>
  <si>
    <t>M3*8*4.2(50个)</t>
  </si>
  <si>
    <t>M3*6*4.2(50个)</t>
  </si>
  <si>
    <t>M3*4*4.2(50个)</t>
  </si>
  <si>
    <t>M2*10*3.2(20个)</t>
  </si>
  <si>
    <t>M2*8*3.2(50个)</t>
  </si>
  <si>
    <t>M2*6*3.2(50个)</t>
  </si>
  <si>
    <t>M2*4*3.2(50个)</t>
  </si>
  <si>
    <t>【优惠价】黑色304不锈钢薄头内六角螺丝钉DIN7984矮头加长螺栓M3M4M5M6-M12</t>
  </si>
  <si>
    <t>M3*10(50个)黑色</t>
  </si>
  <si>
    <t>M3*8(50个)黑色</t>
  </si>
  <si>
    <t>M3*6(50个)黑色</t>
  </si>
  <si>
    <t>M3*4(50个)黑色</t>
  </si>
  <si>
    <t>M2*10(50个)黑色</t>
  </si>
  <si>
    <t>M2*8(50个)黑色</t>
  </si>
  <si>
    <t>M2*6(100个)黑色</t>
  </si>
  <si>
    <t>M2*4(100个)黑色</t>
  </si>
  <si>
    <t>苏宁18650锂电池充电器大容量3.7v强光手电筒小风扇4.2v头灯1956</t>
  </si>
  <si>
    <t>苏宁易购官方旗舰店</t>
  </si>
  <si>
    <t>2节12950mWh平头送同款1节</t>
  </si>
  <si>
    <t>IP5328P 充电宝双向快充模块 移动电源主板 3.7V转5V9V12V升压</t>
  </si>
  <si>
    <t>ESP32 S3核心板板载1-N16R8 N8R2 N8R8 S3-DevKitC-1模块开发板</t>
  </si>
  <si>
    <t>带天线ESP32-S3 N16R8（已焊接）</t>
  </si>
  <si>
    <t>MT6701磁编码器 磁感应角度测量传感器模块14bit高精度替代AS5600</t>
  </si>
  <si>
    <t>焊好排针</t>
  </si>
  <si>
    <t>高特防尘机械键盘轴体青轴红轴茶黑紫绿银静音白灰换轴试轴器配件</t>
  </si>
  <si>
    <t>芯扬外设</t>
  </si>
  <si>
    <t>标准茶轴10个</t>
  </si>
  <si>
    <t>MAX17048 电量计和电池监测器 STEMMA JST PH &amp; QT/Qwiic</t>
  </si>
  <si>
    <t>迈瑞电子模块生产商</t>
  </si>
  <si>
    <t>手机手环振动器马达 0827/1027/30/34扁平贴片空心杯电机带线马达</t>
  </si>
  <si>
    <t>特加特数码专营店</t>
  </si>
  <si>
    <t>0827马达 外径8MM 厚度2.7MM</t>
  </si>
  <si>
    <t>DRV2605L Haptic Motor Controller马达驱动模块</t>
  </si>
  <si>
    <t>diymore旗舰店</t>
  </si>
  <si>
    <t>多极磁栅尺 通用型磁条 直线位移传感器 磁距1/2/5mm可选</t>
  </si>
  <si>
    <t>精锐新材料</t>
  </si>
  <si>
    <t>橡胶磁+不锈钢载条;2mm（1米款）</t>
  </si>
  <si>
    <t>【优惠价】3m双面胶贴强力粘胶海绵胶带汽车车用VHB防水无痕高粘度固定墙面</t>
  </si>
  <si>
    <t>3m浩铁专卖店</t>
  </si>
  <si>
    <t>1厘米宽*3米长【升级版】</t>
  </si>
  <si>
    <t>3J双导铜箔胶带 纯铜双面导电铜箔胶带 导电胶带屏蔽胶带 单面胶</t>
  </si>
  <si>
    <t>3j旗舰店</t>
  </si>
  <si>
    <t>0.05厚*50mm宽*20米</t>
  </si>
  <si>
    <t>8.88英寸 迪文 智能串口屏DMG19480C088_03W音乐播放触摸WIFI可选</t>
  </si>
  <si>
    <t>极窄超细软硅胶灯带24V线条线形灯嵌入式灯槽线型12V低压防水灯条</t>
  </si>
  <si>
    <t>小象照明</t>
  </si>
  <si>
    <t>12V低压硅胶（宽4MM*厚8MM）1米价;黄色</t>
  </si>
  <si>
    <t>4PIN磁吸公母座带耳</t>
  </si>
  <si>
    <t>高头金属按钮开关自锁自复位圆形点动带灯电源按键12/16/19/22mm</t>
  </si>
  <si>
    <t>麦丰电气</t>
  </si>
  <si>
    <t>高头环形电源红灯;22mm;3-6V;自复位（不带线）</t>
  </si>
  <si>
    <t>特软硅胶线耐高温航模新能源镀锡铜软线16 18 20 22 24 28 30AWG</t>
  </si>
  <si>
    <t>本木旗舰店</t>
  </si>
  <si>
    <t>30AWG橙色/5米</t>
  </si>
  <si>
    <t>30AWG棕色/5米</t>
  </si>
  <si>
    <t>30AWG紫色/5米</t>
  </si>
  <si>
    <t>30AWG绿色/5米</t>
  </si>
  <si>
    <t>30AWG红色/5米</t>
  </si>
  <si>
    <t>30AWG黑色/5米</t>
  </si>
  <si>
    <t>FPC/FFC转接板焊好0.5mm/1.0mm间距连接器转直插2.54软排线转接座</t>
  </si>
  <si>
    <t>杰易斯科技</t>
  </si>
  <si>
    <t>12P;0·5mm;焊接FPC座+直针</t>
  </si>
  <si>
    <t>12P;0·5mm;焊接FPC座+弯针</t>
  </si>
  <si>
    <t>【优惠价】5条 FFC/FPC软排线扁平连接线1.0/0.5mm同向/反向10/16/20/24-40P</t>
  </si>
  <si>
    <t>zave旗舰店</t>
  </si>
  <si>
    <t>12P同向 0.5mm间距 长300mm (5条)</t>
  </si>
  <si>
    <t>【优惠价】PCF8574模块 单片机I/O扩展板模块 PCF8574T模块 I2C接口</t>
  </si>
  <si>
    <t>PCF8574模块蓝板</t>
  </si>
  <si>
    <t>Convertion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</si>
</sst>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0"/>
    <numFmt numFmtId="165" formatCode="_([$$-409]* #,##0.00_);_([$$-409]* \(#,##0.00\);_([$$-409]* &quot;-&quot;??_);_(@_)"/>
    <numFmt numFmtId="169" formatCode="_ [$¥-804]* #,##0.00_ ;_ [$¥-804]* \-#,##0.00_ ;_ [$¥-804]* &quot;-&quot;??_ ;_ @_ "/>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6"/>
      <color theme="1"/>
      <name val="Aptos Narrow"/>
      <family val="2"/>
      <scheme val="minor"/>
    </font>
    <font>
      <sz val="12"/>
      <color theme="1"/>
      <name val="Aptos Narrow"/>
      <scheme val="minor"/>
    </font>
    <font>
      <sz val="12"/>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6">
    <xf numFmtId="0" fontId="0" fillId="0" borderId="0" xfId="0"/>
    <xf numFmtId="0" fontId="18" fillId="0" borderId="0" xfId="0" applyFont="1" applyAlignment="1">
      <alignment horizontal="center" vertical="center"/>
    </xf>
    <xf numFmtId="0" fontId="19" fillId="0" borderId="0" xfId="0" applyFont="1"/>
    <xf numFmtId="164" fontId="19" fillId="0" borderId="0" xfId="0" applyNumberFormat="1" applyFont="1" applyAlignment="1">
      <alignment horizontal="left"/>
    </xf>
    <xf numFmtId="0" fontId="19" fillId="0" borderId="0" xfId="0" applyFont="1"/>
    <xf numFmtId="164" fontId="19" fillId="0" borderId="0" xfId="0" applyNumberFormat="1" applyFont="1" applyAlignment="1">
      <alignment horizontal="left"/>
    </xf>
    <xf numFmtId="2" fontId="19" fillId="0" borderId="0" xfId="0" applyNumberFormat="1" applyFont="1"/>
    <xf numFmtId="164" fontId="19" fillId="0" borderId="0" xfId="0" applyNumberFormat="1" applyFont="1"/>
    <xf numFmtId="2" fontId="0" fillId="0" borderId="0" xfId="0" applyNumberFormat="1"/>
    <xf numFmtId="0" fontId="0" fillId="0" borderId="0" xfId="0" applyNumberFormat="1"/>
    <xf numFmtId="165" fontId="0" fillId="0" borderId="0" xfId="0" applyNumberFormat="1"/>
    <xf numFmtId="169" fontId="20" fillId="0" borderId="0" xfId="0" applyNumberFormat="1" applyFont="1"/>
    <xf numFmtId="169" fontId="19" fillId="0" borderId="0" xfId="0" applyNumberFormat="1" applyFont="1"/>
    <xf numFmtId="169" fontId="19" fillId="0" borderId="0" xfId="0" applyNumberFormat="1" applyFont="1" applyAlignment="1">
      <alignment horizontal="left"/>
    </xf>
    <xf numFmtId="44" fontId="0" fillId="0" borderId="0" xfId="42" applyFont="1"/>
    <xf numFmtId="0" fontId="0" fillId="0" borderId="0" xfId="0" applyAlignment="1">
      <alignment horizontal="right"/>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
    <dxf>
      <font>
        <sz val="12"/>
      </font>
      <numFmt numFmtId="164" formatCode="[$¥]#,##0.00"/>
      <alignment horizontal="left" vertical="bottom" textRotation="0" wrapText="0" indent="0" justifyLastLine="0" shrinkToFit="0" readingOrder="0"/>
    </dxf>
    <dxf>
      <font>
        <sz val="12"/>
      </font>
      <numFmt numFmtId="0" formatCode="General"/>
    </dxf>
    <dxf>
      <font>
        <sz val="12"/>
      </font>
      <numFmt numFmtId="0" formatCode="General"/>
    </dxf>
    <dxf>
      <font>
        <sz val="12"/>
      </font>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connections" Target="connections.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F68327F-FACE-4558-B30E-89F6A9A96492}" autoFormatId="16" applyNumberFormats="0" applyBorderFormats="0" applyFontFormats="0" applyPatternFormats="0" applyAlignmentFormats="0" applyWidthHeightFormats="0">
  <queryTableRefresh nextId="9">
    <queryTableFields count="8">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
  <rv s="0">
    <v>en-US</v>
    <v>av554c</v>
    <v>268435456</v>
    <v>1</v>
    <v>Powered by Refinitiv</v>
    <v>0</v>
    <v>CNY/USD</v>
    <v>2</v>
    <v>3</v>
    <v>Finance</v>
    <v>4</v>
    <v>0.1479</v>
    <v>0.1386</v>
    <v>-7.6000000000000004E-5</v>
    <v>-5.1469999999999999E-4</v>
    <v>USD</v>
    <v>CNY</v>
    <v>0.14760000000000001</v>
    <v>Currency Pair</v>
    <v>46183.65997685185</v>
    <v>0.14749999999999999</v>
    <v>Chinese Renminbi/US Dollar FX Cross Rate</v>
    <v>0.14760000000000001</v>
    <v>0.1477</v>
    <v>0.14760000000000001</v>
    <v>CNYUSD</v>
    <v>CNY/USD</v>
  </rv>
  <rv s="1">
    <v>0</v>
  </rv>
</rvData>
</file>

<file path=xl/richData/rdrichvaluestructure.xml><?xml version="1.0" encoding="utf-8"?>
<rvStructures xmlns="http://schemas.microsoft.com/office/spreadsheetml/2017/richdata" count="2">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yyyy/mm/dd\ h:mm"/>
    </x:dxf>
    <x:dxf>
      <x:numFmt numFmtId="14" formatCode="0.00%"/>
    </x:dxf>
  </dxfs>
  <richProperties>
    <rPr n="NumberFormat" t="s"/>
    <rPr n="IsTitleField" t="b"/>
  </richProperties>
  <richStyles>
    <rSty dxfid="1">
      <rpv i="0">_([$$-en-US]* #,##0.00_);_([$$-en-US]* (#,##0.00);_([$$-en-US]* "-"??_);_(@_)</rpv>
    </rSty>
    <rSty>
      <rpv i="1">1</rpv>
    </rSty>
    <rSty dxfid="3"/>
    <rSty dxfid="2"/>
    <rSty dxfid="0">
      <rpv i="0">0.00</rpv>
    </rSty>
  </richStyles>
</richStyleSheet>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D7D1C6-56CA-41E3-B480-C09E2D25409D}" name="BOM" displayName="BOM" ref="A4:H64" tableType="queryTable" totalsRowShown="0">
  <autoFilter ref="A4:H64" xr:uid="{18D7D1C6-56CA-41E3-B480-C09E2D25409D}"/>
  <tableColumns count="8">
    <tableColumn id="1" xr3:uid="{002DEBBD-8422-47DB-953B-7C2D7A156B21}" uniqueName="1" name="Product Name" queryTableFieldId="1" dataDxfId="16"/>
    <tableColumn id="2" xr3:uid="{03D03211-455D-455A-A9E9-892745836DD4}" uniqueName="2" name="Shop Name" queryTableFieldId="2" dataDxfId="15"/>
    <tableColumn id="3" xr3:uid="{0E67A614-AE19-451C-9749-A2378CEF05F7}" uniqueName="3" name="Product Link" queryTableFieldId="3" dataDxfId="14"/>
    <tableColumn id="4" xr3:uid="{6A988CD7-D6CF-4E17-AFD4-E9C09057EAE5}" uniqueName="4" name="Model/Style" queryTableFieldId="4" dataDxfId="13"/>
    <tableColumn id="5" xr3:uid="{99555607-DAE0-4634-9871-A1B6FB9E8388}" uniqueName="5" name="Quantity" queryTableFieldId="5" dataDxfId="12"/>
    <tableColumn id="6" xr3:uid="{31B69F45-443E-4E5B-B081-1E4B0336BA3E}" uniqueName="6" name="Price" queryTableFieldId="6" dataDxfId="11"/>
    <tableColumn id="7" xr3:uid="{D654F0F5-C778-4E0B-94F2-8B9B977C6D04}" uniqueName="7" name="Shipping" queryTableFieldId="7" dataDxfId="10"/>
    <tableColumn id="8" xr3:uid="{849BC038-4692-4EFD-84BF-4A2017B22963}" uniqueName="8" name="Total Paid" queryTableFieldId="8" dataDxfId="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CB24624-BC24-4209-A216-E21B18E1092A}" name="Table2" displayName="Table2" ref="A68:H129" totalsRowShown="0" headerRowDxfId="8">
  <autoFilter ref="A68:H129" xr:uid="{FCB24624-BC24-4209-A216-E21B18E1092A}"/>
  <tableColumns count="8">
    <tableColumn id="1" xr3:uid="{947C1366-DB97-446B-BBC8-4E8B1EC26B88}" name="商品名称" dataDxfId="7"/>
    <tableColumn id="2" xr3:uid="{DF69F951-56A8-4865-835A-C1847FF0844F}" name="店铺名称" dataDxfId="6"/>
    <tableColumn id="3" xr3:uid="{2DC3F1EB-EF4F-413A-8B8C-8EC64A91D777}" name="商品链接" dataDxfId="5"/>
    <tableColumn id="4" xr3:uid="{83367040-93B4-43E3-8561-586898C4126F}" name="型号款式" dataDxfId="4"/>
    <tableColumn id="5" xr3:uid="{88A64044-6E49-4755-91B2-408EFB42D26D}" name="商品数量" dataDxfId="3"/>
    <tableColumn id="6" xr3:uid="{1C9F6888-4EFA-4CE2-A3F6-262088C69A4B}" name="商品金额" dataDxfId="2"/>
    <tableColumn id="7" xr3:uid="{69DD1C31-AC8E-4708-95A1-3DA10FAC1C68}" name="运费" dataDxfId="1"/>
    <tableColumn id="8" xr3:uid="{7CC89907-10D3-4614-A14C-A18519090098}" name="实付金额"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5DB4D-2BD9-4D37-96B1-E575DFC48E74}">
  <dimension ref="A1:H196"/>
  <sheetViews>
    <sheetView tabSelected="1" workbookViewId="0">
      <selection activeCell="D20" sqref="D20"/>
    </sheetView>
  </sheetViews>
  <sheetFormatPr defaultRowHeight="14.4" x14ac:dyDescent="0.3"/>
  <cols>
    <col min="1" max="1" width="123.44140625" bestFit="1" customWidth="1"/>
    <col min="2" max="2" width="34.109375" bestFit="1" customWidth="1"/>
    <col min="3" max="3" width="80.5546875" bestFit="1" customWidth="1"/>
    <col min="4" max="4" width="59.5546875" bestFit="1" customWidth="1"/>
    <col min="5" max="7" width="10.21875" bestFit="1" customWidth="1"/>
    <col min="8" max="8" width="10.77734375" bestFit="1" customWidth="1"/>
  </cols>
  <sheetData>
    <row r="1" spans="1:8" x14ac:dyDescent="0.3">
      <c r="A1" s="1" t="s">
        <v>0</v>
      </c>
      <c r="D1" s="15" t="s">
        <v>294</v>
      </c>
    </row>
    <row r="2" spans="1:8" x14ac:dyDescent="0.3">
      <c r="A2" s="1"/>
      <c r="C2" t="e" vm="1">
        <v>#VALUE!</v>
      </c>
      <c r="D2" s="8" cm="1">
        <f t="array" aca="1" ref="D2" ca="1">_FV(C2,"Price")</f>
        <v>0.14760000000000001</v>
      </c>
    </row>
    <row r="3" spans="1:8" x14ac:dyDescent="0.3">
      <c r="A3" s="1"/>
    </row>
    <row r="4" spans="1:8" x14ac:dyDescent="0.3">
      <c r="A4" t="s">
        <v>2</v>
      </c>
      <c r="B4" t="s">
        <v>3</v>
      </c>
      <c r="C4" t="s">
        <v>4</v>
      </c>
      <c r="D4" t="s">
        <v>5</v>
      </c>
      <c r="E4" t="s">
        <v>6</v>
      </c>
      <c r="F4" t="s">
        <v>7</v>
      </c>
      <c r="G4" t="s">
        <v>8</v>
      </c>
      <c r="H4" t="s">
        <v>9</v>
      </c>
    </row>
    <row r="5" spans="1:8" x14ac:dyDescent="0.3">
      <c r="A5" t="s">
        <v>10</v>
      </c>
      <c r="B5" t="s">
        <v>11</v>
      </c>
      <c r="C5" t="s">
        <v>12</v>
      </c>
      <c r="D5" t="s">
        <v>13</v>
      </c>
      <c r="E5" t="s">
        <v>14</v>
      </c>
      <c r="F5" s="10">
        <f ca="1">F69*$D$2</f>
        <v>0.72324000000000011</v>
      </c>
      <c r="G5" s="10">
        <f ca="1">G69*$D$2</f>
        <v>0.73799999999999999</v>
      </c>
      <c r="H5" s="10">
        <f ca="1">H69*$D$2</f>
        <v>2.1844800000000002</v>
      </c>
    </row>
    <row r="6" spans="1:8" x14ac:dyDescent="0.3">
      <c r="A6" t="s">
        <v>15</v>
      </c>
      <c r="B6" t="s">
        <v>16</v>
      </c>
      <c r="C6" t="s">
        <v>17</v>
      </c>
      <c r="D6" t="s">
        <v>18</v>
      </c>
      <c r="E6" t="s">
        <v>19</v>
      </c>
      <c r="F6" s="10">
        <f ca="1">F70*$D$2</f>
        <v>1.5202800000000003</v>
      </c>
      <c r="G6" s="10">
        <f t="shared" ref="G6:H64" ca="1" si="0">G70*$D$2</f>
        <v>0</v>
      </c>
      <c r="H6" s="10">
        <f t="shared" ca="1" si="0"/>
        <v>1.5202800000000003</v>
      </c>
    </row>
    <row r="7" spans="1:8" x14ac:dyDescent="0.3">
      <c r="A7" t="s">
        <v>20</v>
      </c>
      <c r="B7" t="s">
        <v>21</v>
      </c>
      <c r="C7" t="s">
        <v>22</v>
      </c>
      <c r="D7" t="s">
        <v>23</v>
      </c>
      <c r="E7" t="s">
        <v>19</v>
      </c>
      <c r="F7" s="10">
        <f t="shared" ref="F7:F48" ca="1" si="1">F71*$D$2</f>
        <v>0.15645600000000001</v>
      </c>
      <c r="G7" s="10">
        <f t="shared" ca="1" si="0"/>
        <v>0.39852000000000004</v>
      </c>
      <c r="H7" s="10">
        <f t="shared" ca="1" si="0"/>
        <v>0.55497600000000002</v>
      </c>
    </row>
    <row r="8" spans="1:8" x14ac:dyDescent="0.3">
      <c r="A8" t="s">
        <v>24</v>
      </c>
      <c r="B8" t="s">
        <v>25</v>
      </c>
      <c r="C8" t="s">
        <v>26</v>
      </c>
      <c r="D8" t="s">
        <v>27</v>
      </c>
      <c r="E8" t="s">
        <v>19</v>
      </c>
      <c r="F8" s="10">
        <f t="shared" ca="1" si="1"/>
        <v>0.43542000000000003</v>
      </c>
      <c r="G8" s="10">
        <f t="shared" ca="1" si="0"/>
        <v>0</v>
      </c>
      <c r="H8" s="10">
        <f t="shared" ca="1" si="0"/>
        <v>0.43542000000000003</v>
      </c>
    </row>
    <row r="9" spans="1:8" x14ac:dyDescent="0.3">
      <c r="A9" t="s">
        <v>28</v>
      </c>
      <c r="B9" t="s">
        <v>25</v>
      </c>
      <c r="C9" t="s">
        <v>29</v>
      </c>
      <c r="D9" t="s">
        <v>30</v>
      </c>
      <c r="E9" t="s">
        <v>19</v>
      </c>
      <c r="F9" s="10">
        <f t="shared" ca="1" si="1"/>
        <v>0.50922000000000001</v>
      </c>
      <c r="G9" s="10">
        <f t="shared" ca="1" si="0"/>
        <v>0</v>
      </c>
      <c r="H9" s="10">
        <f t="shared" ca="1" si="0"/>
        <v>0.50922000000000001</v>
      </c>
    </row>
    <row r="10" spans="1:8" x14ac:dyDescent="0.3">
      <c r="A10" t="s">
        <v>31</v>
      </c>
      <c r="B10" t="s">
        <v>32</v>
      </c>
      <c r="C10" t="s">
        <v>33</v>
      </c>
      <c r="D10" t="s">
        <v>34</v>
      </c>
      <c r="E10" t="s">
        <v>19</v>
      </c>
      <c r="F10" s="10">
        <f t="shared" ca="1" si="1"/>
        <v>0.30258000000000002</v>
      </c>
      <c r="G10" s="10">
        <f t="shared" ca="1" si="0"/>
        <v>0</v>
      </c>
      <c r="H10" s="10">
        <f t="shared" ca="1" si="0"/>
        <v>0.30258000000000002</v>
      </c>
    </row>
    <row r="11" spans="1:8" x14ac:dyDescent="0.3">
      <c r="A11" t="s">
        <v>35</v>
      </c>
      <c r="B11" t="s">
        <v>21</v>
      </c>
      <c r="C11" t="s">
        <v>36</v>
      </c>
      <c r="D11" t="s">
        <v>37</v>
      </c>
      <c r="E11" t="s">
        <v>19</v>
      </c>
      <c r="F11" s="10">
        <f t="shared" ca="1" si="1"/>
        <v>5.9040000000000009E-2</v>
      </c>
      <c r="G11" s="10">
        <f t="shared" ca="1" si="0"/>
        <v>0.54612000000000005</v>
      </c>
      <c r="H11" s="10">
        <f t="shared" ca="1" si="0"/>
        <v>0.79408800000000002</v>
      </c>
    </row>
    <row r="12" spans="1:8" x14ac:dyDescent="0.3">
      <c r="A12" t="s">
        <v>20</v>
      </c>
      <c r="B12" t="s">
        <v>1</v>
      </c>
      <c r="C12" t="s">
        <v>22</v>
      </c>
      <c r="D12" t="s">
        <v>23</v>
      </c>
      <c r="E12" t="s">
        <v>19</v>
      </c>
      <c r="F12" s="10">
        <f t="shared" ca="1" si="1"/>
        <v>0.15645600000000001</v>
      </c>
      <c r="G12" s="10">
        <f t="shared" ca="1" si="0"/>
        <v>0</v>
      </c>
      <c r="H12" s="10">
        <f t="shared" ca="1" si="0"/>
        <v>0</v>
      </c>
    </row>
    <row r="13" spans="1:8" x14ac:dyDescent="0.3">
      <c r="A13" t="s">
        <v>38</v>
      </c>
      <c r="B13" t="s">
        <v>1</v>
      </c>
      <c r="C13" t="s">
        <v>39</v>
      </c>
      <c r="D13" t="s">
        <v>40</v>
      </c>
      <c r="E13" t="s">
        <v>19</v>
      </c>
      <c r="F13" s="10">
        <f t="shared" ca="1" si="1"/>
        <v>3.2472000000000001E-2</v>
      </c>
      <c r="G13" s="10">
        <f t="shared" ca="1" si="0"/>
        <v>0</v>
      </c>
      <c r="H13" s="10">
        <f t="shared" ca="1" si="0"/>
        <v>0</v>
      </c>
    </row>
    <row r="14" spans="1:8" x14ac:dyDescent="0.3">
      <c r="A14" t="s">
        <v>41</v>
      </c>
      <c r="B14" t="s">
        <v>42</v>
      </c>
      <c r="C14" t="s">
        <v>43</v>
      </c>
      <c r="D14" t="s">
        <v>44</v>
      </c>
      <c r="E14" t="s">
        <v>19</v>
      </c>
      <c r="F14" s="10">
        <f t="shared" ca="1" si="1"/>
        <v>32.472000000000001</v>
      </c>
      <c r="G14" s="10">
        <f t="shared" ca="1" si="0"/>
        <v>0</v>
      </c>
      <c r="H14" s="10">
        <f t="shared" ca="1" si="0"/>
        <v>32.472000000000001</v>
      </c>
    </row>
    <row r="15" spans="1:8" x14ac:dyDescent="0.3">
      <c r="A15" t="s">
        <v>45</v>
      </c>
      <c r="B15" t="s">
        <v>46</v>
      </c>
      <c r="C15" t="s">
        <v>47</v>
      </c>
      <c r="D15" t="s">
        <v>48</v>
      </c>
      <c r="E15" t="s">
        <v>19</v>
      </c>
      <c r="F15" s="10">
        <f t="shared" ca="1" si="1"/>
        <v>1.5409440000000001</v>
      </c>
      <c r="G15" s="10">
        <f t="shared" ca="1" si="0"/>
        <v>0</v>
      </c>
      <c r="H15" s="10">
        <f t="shared" ca="1" si="0"/>
        <v>16.286184000000002</v>
      </c>
    </row>
    <row r="16" spans="1:8" x14ac:dyDescent="0.3">
      <c r="A16" t="s">
        <v>49</v>
      </c>
      <c r="B16" t="s">
        <v>1</v>
      </c>
      <c r="C16" t="s">
        <v>50</v>
      </c>
      <c r="D16" t="s">
        <v>51</v>
      </c>
      <c r="E16" t="s">
        <v>19</v>
      </c>
      <c r="F16" s="10">
        <f t="shared" ca="1" si="1"/>
        <v>1.3416840000000001</v>
      </c>
      <c r="G16" s="10">
        <f t="shared" ca="1" si="0"/>
        <v>0</v>
      </c>
      <c r="H16" s="10">
        <f t="shared" ca="1" si="0"/>
        <v>0</v>
      </c>
    </row>
    <row r="17" spans="1:8" x14ac:dyDescent="0.3">
      <c r="A17" t="s">
        <v>52</v>
      </c>
      <c r="B17" t="s">
        <v>1</v>
      </c>
      <c r="C17" t="s">
        <v>53</v>
      </c>
      <c r="D17" t="s">
        <v>54</v>
      </c>
      <c r="E17" t="s">
        <v>19</v>
      </c>
      <c r="F17" s="10">
        <f t="shared" ca="1" si="1"/>
        <v>1.6103160000000001</v>
      </c>
      <c r="G17" s="10">
        <f t="shared" ca="1" si="0"/>
        <v>0</v>
      </c>
      <c r="H17" s="10">
        <f t="shared" ca="1" si="0"/>
        <v>0</v>
      </c>
    </row>
    <row r="18" spans="1:8" x14ac:dyDescent="0.3">
      <c r="A18" t="s">
        <v>55</v>
      </c>
      <c r="B18" t="s">
        <v>1</v>
      </c>
      <c r="C18" t="s">
        <v>56</v>
      </c>
      <c r="D18" t="s">
        <v>57</v>
      </c>
      <c r="E18" t="s">
        <v>19</v>
      </c>
      <c r="F18" s="10">
        <f t="shared" ca="1" si="1"/>
        <v>11.793240000000001</v>
      </c>
      <c r="G18" s="10">
        <f t="shared" ca="1" si="0"/>
        <v>0</v>
      </c>
      <c r="H18" s="10">
        <f t="shared" ca="1" si="0"/>
        <v>0</v>
      </c>
    </row>
    <row r="19" spans="1:8" x14ac:dyDescent="0.3">
      <c r="A19" t="s">
        <v>58</v>
      </c>
      <c r="B19" t="s">
        <v>59</v>
      </c>
      <c r="C19" t="s">
        <v>60</v>
      </c>
      <c r="D19" t="s">
        <v>61</v>
      </c>
      <c r="E19" t="s">
        <v>19</v>
      </c>
      <c r="F19" s="10">
        <f t="shared" ca="1" si="1"/>
        <v>0.73799999999999999</v>
      </c>
      <c r="G19" s="10">
        <f t="shared" ca="1" si="0"/>
        <v>0.73799999999999999</v>
      </c>
      <c r="H19" s="10">
        <f t="shared" ca="1" si="0"/>
        <v>1.476</v>
      </c>
    </row>
    <row r="20" spans="1:8" x14ac:dyDescent="0.3">
      <c r="A20" t="s">
        <v>62</v>
      </c>
      <c r="B20" t="s">
        <v>63</v>
      </c>
      <c r="C20" t="s">
        <v>64</v>
      </c>
      <c r="D20" t="s">
        <v>65</v>
      </c>
      <c r="E20" t="s">
        <v>19</v>
      </c>
      <c r="F20" s="10">
        <f t="shared" ca="1" si="1"/>
        <v>6.6420000000000003</v>
      </c>
      <c r="G20" s="10">
        <f t="shared" ca="1" si="0"/>
        <v>0</v>
      </c>
      <c r="H20" s="10">
        <f t="shared" ca="1" si="0"/>
        <v>6.6420000000000003</v>
      </c>
    </row>
    <row r="21" spans="1:8" x14ac:dyDescent="0.3">
      <c r="A21" t="s">
        <v>66</v>
      </c>
      <c r="B21" t="s">
        <v>67</v>
      </c>
      <c r="C21" t="s">
        <v>68</v>
      </c>
      <c r="D21" t="s">
        <v>69</v>
      </c>
      <c r="E21" t="s">
        <v>19</v>
      </c>
      <c r="F21" s="10">
        <f t="shared" ca="1" si="1"/>
        <v>3.7638000000000003</v>
      </c>
      <c r="G21" s="10">
        <f t="shared" ca="1" si="0"/>
        <v>2.3616000000000001</v>
      </c>
      <c r="H21" s="10">
        <f t="shared" ca="1" si="0"/>
        <v>6.1254</v>
      </c>
    </row>
    <row r="22" spans="1:8" x14ac:dyDescent="0.3">
      <c r="A22" t="s">
        <v>70</v>
      </c>
      <c r="B22" t="s">
        <v>71</v>
      </c>
      <c r="C22" t="s">
        <v>72</v>
      </c>
      <c r="D22" t="s">
        <v>73</v>
      </c>
      <c r="E22" t="s">
        <v>14</v>
      </c>
      <c r="F22" s="10">
        <f t="shared" ca="1" si="1"/>
        <v>2.9475720000000001</v>
      </c>
      <c r="G22" s="10">
        <f t="shared" ca="1" si="0"/>
        <v>0</v>
      </c>
      <c r="H22" s="10">
        <f t="shared" ca="1" si="0"/>
        <v>14.751144</v>
      </c>
    </row>
    <row r="23" spans="1:8" x14ac:dyDescent="0.3">
      <c r="A23" t="s">
        <v>70</v>
      </c>
      <c r="B23" t="s">
        <v>1</v>
      </c>
      <c r="C23" t="s">
        <v>72</v>
      </c>
      <c r="D23" t="s">
        <v>74</v>
      </c>
      <c r="E23" t="s">
        <v>75</v>
      </c>
      <c r="F23" s="10">
        <f t="shared" ca="1" si="1"/>
        <v>1.7712000000000001</v>
      </c>
      <c r="G23" s="10">
        <f t="shared" ca="1" si="0"/>
        <v>0</v>
      </c>
      <c r="H23" s="10">
        <f t="shared" ca="1" si="0"/>
        <v>0</v>
      </c>
    </row>
    <row r="24" spans="1:8" x14ac:dyDescent="0.3">
      <c r="A24" t="s">
        <v>76</v>
      </c>
      <c r="B24" t="s">
        <v>77</v>
      </c>
      <c r="C24" t="s">
        <v>78</v>
      </c>
      <c r="D24" t="s">
        <v>79</v>
      </c>
      <c r="E24" t="s">
        <v>19</v>
      </c>
      <c r="F24" s="10">
        <f t="shared" ca="1" si="1"/>
        <v>0.56530800000000003</v>
      </c>
      <c r="G24" s="10">
        <f t="shared" ca="1" si="0"/>
        <v>0</v>
      </c>
      <c r="H24" s="10">
        <f t="shared" ca="1" si="0"/>
        <v>10.178495999999999</v>
      </c>
    </row>
    <row r="25" spans="1:8" x14ac:dyDescent="0.3">
      <c r="A25" t="s">
        <v>76</v>
      </c>
      <c r="B25" t="s">
        <v>1</v>
      </c>
      <c r="C25" t="s">
        <v>78</v>
      </c>
      <c r="D25" t="s">
        <v>80</v>
      </c>
      <c r="E25" t="s">
        <v>19</v>
      </c>
      <c r="F25" s="10">
        <f t="shared" ca="1" si="1"/>
        <v>1.0450080000000002</v>
      </c>
      <c r="G25" s="10">
        <f t="shared" ca="1" si="0"/>
        <v>0</v>
      </c>
      <c r="H25" s="10">
        <f t="shared" ca="1" si="0"/>
        <v>0</v>
      </c>
    </row>
    <row r="26" spans="1:8" x14ac:dyDescent="0.3">
      <c r="A26" t="s">
        <v>76</v>
      </c>
      <c r="B26" t="s">
        <v>1</v>
      </c>
      <c r="C26" t="s">
        <v>78</v>
      </c>
      <c r="D26" t="s">
        <v>81</v>
      </c>
      <c r="E26" t="s">
        <v>19</v>
      </c>
      <c r="F26" s="10">
        <f t="shared" ca="1" si="1"/>
        <v>0.78080400000000005</v>
      </c>
      <c r="G26" s="10">
        <f t="shared" ca="1" si="0"/>
        <v>0</v>
      </c>
      <c r="H26" s="10">
        <f t="shared" ca="1" si="0"/>
        <v>0</v>
      </c>
    </row>
    <row r="27" spans="1:8" x14ac:dyDescent="0.3">
      <c r="A27" t="s">
        <v>76</v>
      </c>
      <c r="B27" t="s">
        <v>1</v>
      </c>
      <c r="C27" t="s">
        <v>78</v>
      </c>
      <c r="D27" t="s">
        <v>82</v>
      </c>
      <c r="E27" t="s">
        <v>19</v>
      </c>
      <c r="F27" s="10">
        <f t="shared" ca="1" si="1"/>
        <v>0.57564000000000004</v>
      </c>
      <c r="G27" s="10">
        <f t="shared" ca="1" si="0"/>
        <v>0</v>
      </c>
      <c r="H27" s="10">
        <f t="shared" ca="1" si="0"/>
        <v>0</v>
      </c>
    </row>
    <row r="28" spans="1:8" x14ac:dyDescent="0.3">
      <c r="A28" t="s">
        <v>76</v>
      </c>
      <c r="B28" t="s">
        <v>1</v>
      </c>
      <c r="C28" t="s">
        <v>78</v>
      </c>
      <c r="D28" t="s">
        <v>83</v>
      </c>
      <c r="E28" t="s">
        <v>19</v>
      </c>
      <c r="F28" s="10">
        <f t="shared" ca="1" si="1"/>
        <v>0.53283599999999998</v>
      </c>
      <c r="G28" s="10">
        <f t="shared" ca="1" si="0"/>
        <v>0</v>
      </c>
      <c r="H28" s="10">
        <f t="shared" ca="1" si="0"/>
        <v>0</v>
      </c>
    </row>
    <row r="29" spans="1:8" x14ac:dyDescent="0.3">
      <c r="A29" t="s">
        <v>76</v>
      </c>
      <c r="B29" t="s">
        <v>1</v>
      </c>
      <c r="C29" t="s">
        <v>78</v>
      </c>
      <c r="D29" t="s">
        <v>84</v>
      </c>
      <c r="E29" t="s">
        <v>19</v>
      </c>
      <c r="F29" s="10">
        <f t="shared" ca="1" si="1"/>
        <v>0.88560000000000005</v>
      </c>
      <c r="G29" s="10">
        <f t="shared" ca="1" si="0"/>
        <v>0</v>
      </c>
      <c r="H29" s="10">
        <f t="shared" ca="1" si="0"/>
        <v>0</v>
      </c>
    </row>
    <row r="30" spans="1:8" x14ac:dyDescent="0.3">
      <c r="A30" t="s">
        <v>76</v>
      </c>
      <c r="B30" t="s">
        <v>1</v>
      </c>
      <c r="C30" t="s">
        <v>78</v>
      </c>
      <c r="D30" t="s">
        <v>85</v>
      </c>
      <c r="E30" t="s">
        <v>19</v>
      </c>
      <c r="F30" s="10">
        <f t="shared" ca="1" si="1"/>
        <v>0.76752000000000009</v>
      </c>
      <c r="G30" s="10">
        <f t="shared" ca="1" si="0"/>
        <v>0</v>
      </c>
      <c r="H30" s="10">
        <f t="shared" ca="1" si="0"/>
        <v>0</v>
      </c>
    </row>
    <row r="31" spans="1:8" x14ac:dyDescent="0.3">
      <c r="A31" t="s">
        <v>76</v>
      </c>
      <c r="B31" t="s">
        <v>1</v>
      </c>
      <c r="C31" t="s">
        <v>78</v>
      </c>
      <c r="D31" t="s">
        <v>86</v>
      </c>
      <c r="E31" t="s">
        <v>19</v>
      </c>
      <c r="F31" s="10">
        <f t="shared" ca="1" si="1"/>
        <v>0.51660000000000006</v>
      </c>
      <c r="G31" s="10">
        <f t="shared" ca="1" si="0"/>
        <v>0</v>
      </c>
      <c r="H31" s="10">
        <f t="shared" ca="1" si="0"/>
        <v>0</v>
      </c>
    </row>
    <row r="32" spans="1:8" x14ac:dyDescent="0.3">
      <c r="A32" t="s">
        <v>87</v>
      </c>
      <c r="B32" t="s">
        <v>1</v>
      </c>
      <c r="C32" t="s">
        <v>88</v>
      </c>
      <c r="D32" t="s">
        <v>89</v>
      </c>
      <c r="E32" t="s">
        <v>19</v>
      </c>
      <c r="F32" s="10">
        <f t="shared" ca="1" si="1"/>
        <v>0.63910800000000001</v>
      </c>
      <c r="G32" s="10">
        <f t="shared" ca="1" si="0"/>
        <v>0</v>
      </c>
      <c r="H32" s="10">
        <f t="shared" ca="1" si="0"/>
        <v>0</v>
      </c>
    </row>
    <row r="33" spans="1:8" x14ac:dyDescent="0.3">
      <c r="A33" t="s">
        <v>87</v>
      </c>
      <c r="B33" t="s">
        <v>1</v>
      </c>
      <c r="C33" t="s">
        <v>88</v>
      </c>
      <c r="D33" t="s">
        <v>90</v>
      </c>
      <c r="E33" t="s">
        <v>19</v>
      </c>
      <c r="F33" s="10">
        <f t="shared" ca="1" si="1"/>
        <v>0.56678400000000007</v>
      </c>
      <c r="G33" s="10">
        <f t="shared" ca="1" si="0"/>
        <v>0</v>
      </c>
      <c r="H33" s="10">
        <f t="shared" ca="1" si="0"/>
        <v>0</v>
      </c>
    </row>
    <row r="34" spans="1:8" x14ac:dyDescent="0.3">
      <c r="A34" t="s">
        <v>87</v>
      </c>
      <c r="B34" t="s">
        <v>1</v>
      </c>
      <c r="C34" t="s">
        <v>88</v>
      </c>
      <c r="D34" t="s">
        <v>91</v>
      </c>
      <c r="E34" t="s">
        <v>19</v>
      </c>
      <c r="F34" s="10">
        <f t="shared" ca="1" si="1"/>
        <v>0.52250400000000008</v>
      </c>
      <c r="G34" s="10">
        <f t="shared" ca="1" si="0"/>
        <v>0</v>
      </c>
      <c r="H34" s="10">
        <f t="shared" ca="1" si="0"/>
        <v>0</v>
      </c>
    </row>
    <row r="35" spans="1:8" x14ac:dyDescent="0.3">
      <c r="A35" t="s">
        <v>87</v>
      </c>
      <c r="B35" t="s">
        <v>1</v>
      </c>
      <c r="C35" t="s">
        <v>88</v>
      </c>
      <c r="D35" t="s">
        <v>92</v>
      </c>
      <c r="E35" t="s">
        <v>19</v>
      </c>
      <c r="F35" s="10">
        <f t="shared" ca="1" si="1"/>
        <v>0.47232000000000007</v>
      </c>
      <c r="G35" s="10">
        <f t="shared" ca="1" si="0"/>
        <v>0</v>
      </c>
      <c r="H35" s="10">
        <f t="shared" ca="1" si="0"/>
        <v>0</v>
      </c>
    </row>
    <row r="36" spans="1:8" x14ac:dyDescent="0.3">
      <c r="A36" t="s">
        <v>87</v>
      </c>
      <c r="B36" t="s">
        <v>1</v>
      </c>
      <c r="C36" t="s">
        <v>88</v>
      </c>
      <c r="D36" t="s">
        <v>93</v>
      </c>
      <c r="E36" t="s">
        <v>19</v>
      </c>
      <c r="F36" s="10">
        <f t="shared" ca="1" si="1"/>
        <v>0.44575200000000004</v>
      </c>
      <c r="G36" s="10">
        <f t="shared" ca="1" si="0"/>
        <v>0</v>
      </c>
      <c r="H36" s="10">
        <f t="shared" ca="1" si="0"/>
        <v>0</v>
      </c>
    </row>
    <row r="37" spans="1:8" x14ac:dyDescent="0.3">
      <c r="A37" t="s">
        <v>87</v>
      </c>
      <c r="B37" t="s">
        <v>1</v>
      </c>
      <c r="C37" t="s">
        <v>88</v>
      </c>
      <c r="D37" t="s">
        <v>94</v>
      </c>
      <c r="E37" t="s">
        <v>19</v>
      </c>
      <c r="F37" s="10">
        <f t="shared" ca="1" si="1"/>
        <v>0.419184</v>
      </c>
      <c r="G37" s="10">
        <f t="shared" ca="1" si="0"/>
        <v>0</v>
      </c>
      <c r="H37" s="10">
        <f t="shared" ca="1" si="0"/>
        <v>0</v>
      </c>
    </row>
    <row r="38" spans="1:8" x14ac:dyDescent="0.3">
      <c r="A38" t="s">
        <v>87</v>
      </c>
      <c r="B38" t="s">
        <v>1</v>
      </c>
      <c r="C38" t="s">
        <v>88</v>
      </c>
      <c r="D38" t="s">
        <v>95</v>
      </c>
      <c r="E38" t="s">
        <v>19</v>
      </c>
      <c r="F38" s="10">
        <f t="shared" ca="1" si="1"/>
        <v>0.76161600000000007</v>
      </c>
      <c r="G38" s="10">
        <f t="shared" ca="1" si="0"/>
        <v>0</v>
      </c>
      <c r="H38" s="10">
        <f t="shared" ca="1" si="0"/>
        <v>0</v>
      </c>
    </row>
    <row r="39" spans="1:8" x14ac:dyDescent="0.3">
      <c r="A39" t="s">
        <v>87</v>
      </c>
      <c r="B39" t="s">
        <v>1</v>
      </c>
      <c r="C39" t="s">
        <v>88</v>
      </c>
      <c r="D39" t="s">
        <v>96</v>
      </c>
      <c r="E39" t="s">
        <v>19</v>
      </c>
      <c r="F39" s="10">
        <f t="shared" ca="1" si="1"/>
        <v>0.68191200000000007</v>
      </c>
      <c r="G39" s="10">
        <f t="shared" ca="1" si="0"/>
        <v>0</v>
      </c>
      <c r="H39" s="10">
        <f t="shared" ca="1" si="0"/>
        <v>0</v>
      </c>
    </row>
    <row r="40" spans="1:8" x14ac:dyDescent="0.3">
      <c r="A40" t="s">
        <v>97</v>
      </c>
      <c r="B40" t="s">
        <v>98</v>
      </c>
      <c r="C40" t="s">
        <v>99</v>
      </c>
      <c r="D40" t="s">
        <v>100</v>
      </c>
      <c r="E40" t="s">
        <v>19</v>
      </c>
      <c r="F40" s="10">
        <f t="shared" ca="1" si="1"/>
        <v>8.8412400000000009</v>
      </c>
      <c r="G40" s="10">
        <f t="shared" ca="1" si="0"/>
        <v>0</v>
      </c>
      <c r="H40" s="10">
        <f t="shared" ca="1" si="0"/>
        <v>8.8412400000000009</v>
      </c>
    </row>
    <row r="41" spans="1:8" x14ac:dyDescent="0.3">
      <c r="A41" t="s">
        <v>101</v>
      </c>
      <c r="B41" t="s">
        <v>21</v>
      </c>
      <c r="C41" t="s">
        <v>102</v>
      </c>
      <c r="D41" t="s">
        <v>44</v>
      </c>
      <c r="E41" t="s">
        <v>19</v>
      </c>
      <c r="F41" s="10">
        <f t="shared" ca="1" si="1"/>
        <v>1.6236000000000002</v>
      </c>
      <c r="G41" s="10">
        <f t="shared" ca="1" si="0"/>
        <v>0.54612000000000005</v>
      </c>
      <c r="H41" s="10">
        <f t="shared" ca="1" si="0"/>
        <v>6.671520000000001</v>
      </c>
    </row>
    <row r="42" spans="1:8" x14ac:dyDescent="0.3">
      <c r="A42" t="s">
        <v>103</v>
      </c>
      <c r="B42" t="s">
        <v>1</v>
      </c>
      <c r="C42" t="s">
        <v>104</v>
      </c>
      <c r="D42" t="s">
        <v>105</v>
      </c>
      <c r="E42" t="s">
        <v>19</v>
      </c>
      <c r="F42" s="10">
        <f t="shared" ca="1" si="1"/>
        <v>3.2472000000000003</v>
      </c>
      <c r="G42" s="10">
        <f t="shared" ca="1" si="0"/>
        <v>0</v>
      </c>
      <c r="H42" s="10">
        <f t="shared" ca="1" si="0"/>
        <v>0</v>
      </c>
    </row>
    <row r="43" spans="1:8" x14ac:dyDescent="0.3">
      <c r="A43" t="s">
        <v>106</v>
      </c>
      <c r="B43" t="s">
        <v>1</v>
      </c>
      <c r="C43" t="s">
        <v>107</v>
      </c>
      <c r="D43" t="s">
        <v>108</v>
      </c>
      <c r="E43" t="s">
        <v>19</v>
      </c>
      <c r="F43" s="10">
        <f t="shared" ca="1" si="1"/>
        <v>1.2546000000000002</v>
      </c>
      <c r="G43" s="10">
        <f t="shared" ca="1" si="0"/>
        <v>0</v>
      </c>
      <c r="H43" s="10">
        <f t="shared" ca="1" si="0"/>
        <v>0</v>
      </c>
    </row>
    <row r="44" spans="1:8" x14ac:dyDescent="0.3">
      <c r="A44" t="s">
        <v>109</v>
      </c>
      <c r="B44" t="s">
        <v>110</v>
      </c>
      <c r="C44" t="s">
        <v>111</v>
      </c>
      <c r="D44" t="s">
        <v>112</v>
      </c>
      <c r="E44" t="s">
        <v>19</v>
      </c>
      <c r="F44" s="10">
        <f t="shared" ca="1" si="1"/>
        <v>0.58597200000000005</v>
      </c>
      <c r="G44" s="10">
        <f t="shared" ca="1" si="0"/>
        <v>0</v>
      </c>
      <c r="H44" s="10">
        <f t="shared" ca="1" si="0"/>
        <v>0.58597200000000005</v>
      </c>
    </row>
    <row r="45" spans="1:8" x14ac:dyDescent="0.3">
      <c r="A45" t="s">
        <v>113</v>
      </c>
      <c r="B45" t="s">
        <v>114</v>
      </c>
      <c r="C45" t="s">
        <v>115</v>
      </c>
      <c r="D45" t="s">
        <v>44</v>
      </c>
      <c r="E45" t="s">
        <v>19</v>
      </c>
      <c r="F45" s="10">
        <f t="shared" ca="1" si="1"/>
        <v>5.0922000000000001</v>
      </c>
      <c r="G45" s="10">
        <f t="shared" ca="1" si="0"/>
        <v>0.73799999999999999</v>
      </c>
      <c r="H45" s="10">
        <f t="shared" ca="1" si="0"/>
        <v>5.8302000000000005</v>
      </c>
    </row>
    <row r="46" spans="1:8" x14ac:dyDescent="0.3">
      <c r="A46" t="s">
        <v>116</v>
      </c>
      <c r="B46" t="s">
        <v>117</v>
      </c>
      <c r="C46" t="s">
        <v>118</v>
      </c>
      <c r="D46" t="s">
        <v>119</v>
      </c>
      <c r="E46" t="s">
        <v>19</v>
      </c>
      <c r="F46" s="10">
        <f t="shared" ca="1" si="1"/>
        <v>0.26568000000000003</v>
      </c>
      <c r="G46" s="10">
        <f t="shared" ca="1" si="0"/>
        <v>0</v>
      </c>
      <c r="H46" s="10">
        <f t="shared" ca="1" si="0"/>
        <v>0.26568000000000003</v>
      </c>
    </row>
    <row r="47" spans="1:8" x14ac:dyDescent="0.3">
      <c r="A47" t="s">
        <v>120</v>
      </c>
      <c r="B47" t="s">
        <v>121</v>
      </c>
      <c r="C47" t="s">
        <v>122</v>
      </c>
      <c r="D47" t="s">
        <v>44</v>
      </c>
      <c r="E47" t="s">
        <v>19</v>
      </c>
      <c r="F47" s="10">
        <f t="shared" ca="1" si="1"/>
        <v>2.4103079999999997</v>
      </c>
      <c r="G47" s="10">
        <f ca="1">G111*$D$2</f>
        <v>0</v>
      </c>
      <c r="H47" s="10">
        <f t="shared" ref="H47:H64" ca="1" si="2">H111*$D$2</f>
        <v>2.4103079999999997</v>
      </c>
    </row>
    <row r="48" spans="1:8" x14ac:dyDescent="0.3">
      <c r="A48" t="s">
        <v>123</v>
      </c>
      <c r="B48" t="s">
        <v>124</v>
      </c>
      <c r="C48" t="s">
        <v>125</v>
      </c>
      <c r="D48" t="s">
        <v>126</v>
      </c>
      <c r="E48" t="s">
        <v>19</v>
      </c>
      <c r="F48" s="10">
        <f t="shared" ca="1" si="1"/>
        <v>11.808</v>
      </c>
      <c r="G48" s="10">
        <f t="shared" ca="1" si="0"/>
        <v>0.44280000000000003</v>
      </c>
      <c r="H48" s="10">
        <f t="shared" ca="1" si="2"/>
        <v>12.2508</v>
      </c>
    </row>
    <row r="49" spans="1:8" x14ac:dyDescent="0.3">
      <c r="A49" t="s">
        <v>127</v>
      </c>
      <c r="B49" t="s">
        <v>128</v>
      </c>
      <c r="C49" t="s">
        <v>129</v>
      </c>
      <c r="D49" t="s">
        <v>130</v>
      </c>
      <c r="E49" t="s">
        <v>19</v>
      </c>
      <c r="F49" s="10">
        <f ca="1">F113*$D$2</f>
        <v>1.065672</v>
      </c>
      <c r="G49" s="10">
        <f t="shared" ca="1" si="0"/>
        <v>0</v>
      </c>
      <c r="H49" s="10">
        <f t="shared" ca="1" si="2"/>
        <v>1.065672</v>
      </c>
    </row>
    <row r="50" spans="1:8" x14ac:dyDescent="0.3">
      <c r="A50" t="s">
        <v>131</v>
      </c>
      <c r="B50" t="s">
        <v>132</v>
      </c>
      <c r="C50" t="s">
        <v>133</v>
      </c>
      <c r="D50" t="s">
        <v>134</v>
      </c>
      <c r="E50" t="s">
        <v>19</v>
      </c>
      <c r="F50" s="10">
        <f ca="1">F114*$D$2</f>
        <v>5.1660000000000004</v>
      </c>
      <c r="G50" s="10">
        <f t="shared" ca="1" si="0"/>
        <v>0</v>
      </c>
      <c r="H50" s="10">
        <f t="shared" ca="1" si="2"/>
        <v>5.1660000000000004</v>
      </c>
    </row>
    <row r="51" spans="1:8" x14ac:dyDescent="0.3">
      <c r="A51" t="s">
        <v>135</v>
      </c>
      <c r="B51" t="s">
        <v>67</v>
      </c>
      <c r="C51" t="s">
        <v>136</v>
      </c>
      <c r="D51" t="s">
        <v>137</v>
      </c>
      <c r="E51" t="s">
        <v>19</v>
      </c>
      <c r="F51" s="10">
        <f t="shared" ref="F51:F64" ca="1" si="3">F115*$D$2</f>
        <v>40.590000000000003</v>
      </c>
      <c r="G51" s="10">
        <f t="shared" ca="1" si="0"/>
        <v>2.3616000000000001</v>
      </c>
      <c r="H51" s="10">
        <f t="shared" ca="1" si="2"/>
        <v>42.951599999999999</v>
      </c>
    </row>
    <row r="52" spans="1:8" x14ac:dyDescent="0.3">
      <c r="A52" t="s">
        <v>138</v>
      </c>
      <c r="B52" t="s">
        <v>139</v>
      </c>
      <c r="C52" t="s">
        <v>140</v>
      </c>
      <c r="D52" t="s">
        <v>141</v>
      </c>
      <c r="E52" t="s">
        <v>19</v>
      </c>
      <c r="F52" s="10">
        <f t="shared" ca="1" si="3"/>
        <v>0.92988000000000004</v>
      </c>
      <c r="G52" s="10">
        <f t="shared" ca="1" si="0"/>
        <v>0</v>
      </c>
      <c r="H52" s="10">
        <f t="shared" ca="1" si="2"/>
        <v>0.92988000000000004</v>
      </c>
    </row>
    <row r="53" spans="1:8" x14ac:dyDescent="0.3">
      <c r="A53" t="s">
        <v>10</v>
      </c>
      <c r="B53" t="s">
        <v>11</v>
      </c>
      <c r="C53" t="s">
        <v>142</v>
      </c>
      <c r="D53" t="s">
        <v>143</v>
      </c>
      <c r="E53" t="s">
        <v>19</v>
      </c>
      <c r="F53" s="10">
        <f t="shared" ca="1" si="3"/>
        <v>0.60516000000000003</v>
      </c>
      <c r="G53" s="10">
        <f t="shared" ca="1" si="0"/>
        <v>0.73799999999999999</v>
      </c>
      <c r="H53" s="10">
        <f t="shared" ca="1" si="2"/>
        <v>1.3431600000000001</v>
      </c>
    </row>
    <row r="54" spans="1:8" x14ac:dyDescent="0.3">
      <c r="A54" t="s">
        <v>144</v>
      </c>
      <c r="B54" t="s">
        <v>145</v>
      </c>
      <c r="C54" t="s">
        <v>146</v>
      </c>
      <c r="D54" t="s">
        <v>147</v>
      </c>
      <c r="E54" t="s">
        <v>19</v>
      </c>
      <c r="F54" s="10">
        <f t="shared" ca="1" si="3"/>
        <v>0.94168800000000008</v>
      </c>
      <c r="G54" s="10">
        <f t="shared" ca="1" si="0"/>
        <v>0</v>
      </c>
      <c r="H54" s="10">
        <f t="shared" ca="1" si="2"/>
        <v>0.94168800000000008</v>
      </c>
    </row>
    <row r="55" spans="1:8" x14ac:dyDescent="0.3">
      <c r="A55" t="s">
        <v>148</v>
      </c>
      <c r="B55" t="s">
        <v>149</v>
      </c>
      <c r="C55" t="s">
        <v>150</v>
      </c>
      <c r="D55" t="s">
        <v>151</v>
      </c>
      <c r="E55" t="s">
        <v>19</v>
      </c>
      <c r="F55" s="10">
        <f t="shared" ca="1" si="3"/>
        <v>0.563832</v>
      </c>
      <c r="G55" s="10">
        <f t="shared" ca="1" si="0"/>
        <v>0</v>
      </c>
      <c r="H55" s="10">
        <f t="shared" ca="1" si="2"/>
        <v>3.2353920000000005</v>
      </c>
    </row>
    <row r="56" spans="1:8" x14ac:dyDescent="0.3">
      <c r="A56" t="s">
        <v>148</v>
      </c>
      <c r="B56" t="s">
        <v>1</v>
      </c>
      <c r="C56" t="s">
        <v>150</v>
      </c>
      <c r="D56" t="s">
        <v>152</v>
      </c>
      <c r="E56" t="s">
        <v>19</v>
      </c>
      <c r="F56" s="10">
        <f t="shared" ca="1" si="3"/>
        <v>0.563832</v>
      </c>
      <c r="G56" s="10">
        <f t="shared" ca="1" si="0"/>
        <v>0</v>
      </c>
      <c r="H56" s="10">
        <f t="shared" ca="1" si="2"/>
        <v>0</v>
      </c>
    </row>
    <row r="57" spans="1:8" x14ac:dyDescent="0.3">
      <c r="A57" t="s">
        <v>148</v>
      </c>
      <c r="B57" t="s">
        <v>1</v>
      </c>
      <c r="C57" t="s">
        <v>150</v>
      </c>
      <c r="D57" t="s">
        <v>153</v>
      </c>
      <c r="E57" t="s">
        <v>19</v>
      </c>
      <c r="F57" s="10">
        <f t="shared" ca="1" si="3"/>
        <v>0.41623199999999999</v>
      </c>
      <c r="G57" s="10">
        <f t="shared" ca="1" si="0"/>
        <v>0</v>
      </c>
      <c r="H57" s="10">
        <f t="shared" ca="1" si="2"/>
        <v>0</v>
      </c>
    </row>
    <row r="58" spans="1:8" x14ac:dyDescent="0.3">
      <c r="A58" t="s">
        <v>148</v>
      </c>
      <c r="B58" t="s">
        <v>1</v>
      </c>
      <c r="C58" t="s">
        <v>150</v>
      </c>
      <c r="D58" t="s">
        <v>154</v>
      </c>
      <c r="E58" t="s">
        <v>19</v>
      </c>
      <c r="F58" s="10">
        <f t="shared" ca="1" si="3"/>
        <v>0.563832</v>
      </c>
      <c r="G58" s="10">
        <f t="shared" ca="1" si="0"/>
        <v>0</v>
      </c>
      <c r="H58" s="10">
        <f t="shared" ca="1" si="2"/>
        <v>0</v>
      </c>
    </row>
    <row r="59" spans="1:8" x14ac:dyDescent="0.3">
      <c r="A59" t="s">
        <v>148</v>
      </c>
      <c r="B59" t="s">
        <v>1</v>
      </c>
      <c r="C59" t="s">
        <v>150</v>
      </c>
      <c r="D59" t="s">
        <v>155</v>
      </c>
      <c r="E59" t="s">
        <v>19</v>
      </c>
      <c r="F59" s="10">
        <f t="shared" ca="1" si="3"/>
        <v>0.563832</v>
      </c>
      <c r="G59" s="10">
        <f ca="1">G123*$D$2</f>
        <v>0</v>
      </c>
      <c r="H59" s="10">
        <f t="shared" ca="1" si="2"/>
        <v>0</v>
      </c>
    </row>
    <row r="60" spans="1:8" x14ac:dyDescent="0.3">
      <c r="A60" t="s">
        <v>148</v>
      </c>
      <c r="B60" t="s">
        <v>1</v>
      </c>
      <c r="C60" t="s">
        <v>150</v>
      </c>
      <c r="D60" t="s">
        <v>156</v>
      </c>
      <c r="E60" t="s">
        <v>19</v>
      </c>
      <c r="F60" s="10">
        <f t="shared" ca="1" si="3"/>
        <v>0.563832</v>
      </c>
      <c r="G60" s="10">
        <f t="shared" ca="1" si="0"/>
        <v>0</v>
      </c>
      <c r="H60" s="10">
        <f t="shared" ca="1" si="2"/>
        <v>0</v>
      </c>
    </row>
    <row r="61" spans="1:8" x14ac:dyDescent="0.3">
      <c r="A61" t="s">
        <v>157</v>
      </c>
      <c r="B61" t="s">
        <v>158</v>
      </c>
      <c r="C61" t="s">
        <v>159</v>
      </c>
      <c r="D61" t="s">
        <v>160</v>
      </c>
      <c r="E61" t="s">
        <v>14</v>
      </c>
      <c r="F61" s="10">
        <f t="shared" ca="1" si="3"/>
        <v>0.41327999999999998</v>
      </c>
      <c r="G61" s="10">
        <f t="shared" ca="1" si="0"/>
        <v>0</v>
      </c>
      <c r="H61" s="10">
        <f t="shared" ca="1" si="2"/>
        <v>1.6531199999999999</v>
      </c>
    </row>
    <row r="62" spans="1:8" x14ac:dyDescent="0.3">
      <c r="A62" t="s">
        <v>157</v>
      </c>
      <c r="B62" t="s">
        <v>1</v>
      </c>
      <c r="C62" t="s">
        <v>159</v>
      </c>
      <c r="D62" t="s">
        <v>161</v>
      </c>
      <c r="E62" t="s">
        <v>14</v>
      </c>
      <c r="F62" s="10">
        <f t="shared" ca="1" si="3"/>
        <v>0.41327999999999998</v>
      </c>
      <c r="G62" s="10">
        <f t="shared" ca="1" si="0"/>
        <v>0</v>
      </c>
      <c r="H62" s="10">
        <f t="shared" ca="1" si="2"/>
        <v>0</v>
      </c>
    </row>
    <row r="63" spans="1:8" x14ac:dyDescent="0.3">
      <c r="A63" t="s">
        <v>162</v>
      </c>
      <c r="B63" t="s">
        <v>163</v>
      </c>
      <c r="C63" t="s">
        <v>164</v>
      </c>
      <c r="D63" t="s">
        <v>165</v>
      </c>
      <c r="E63" t="s">
        <v>19</v>
      </c>
      <c r="F63" s="10">
        <f t="shared" ca="1" si="3"/>
        <v>0.40147200000000005</v>
      </c>
      <c r="G63" s="10">
        <f t="shared" ca="1" si="0"/>
        <v>0</v>
      </c>
      <c r="H63" s="10">
        <f t="shared" ca="1" si="2"/>
        <v>1.1645639999999999</v>
      </c>
    </row>
    <row r="64" spans="1:8" x14ac:dyDescent="0.3">
      <c r="A64" t="s">
        <v>166</v>
      </c>
      <c r="B64" t="s">
        <v>1</v>
      </c>
      <c r="C64" t="s">
        <v>167</v>
      </c>
      <c r="D64" t="s">
        <v>168</v>
      </c>
      <c r="E64" t="s">
        <v>19</v>
      </c>
      <c r="F64" s="10">
        <f t="shared" ca="1" si="3"/>
        <v>0.76309199999999999</v>
      </c>
      <c r="G64" s="10">
        <f t="shared" ca="1" si="0"/>
        <v>0</v>
      </c>
      <c r="H64" s="10">
        <f t="shared" ca="1" si="2"/>
        <v>0</v>
      </c>
    </row>
    <row r="65" spans="1:8" x14ac:dyDescent="0.3">
      <c r="A65" s="1" t="s">
        <v>169</v>
      </c>
      <c r="B65" t="s">
        <v>1</v>
      </c>
      <c r="C65" t="s">
        <v>1</v>
      </c>
      <c r="D65" t="s">
        <v>1</v>
      </c>
      <c r="E65" t="s">
        <v>1</v>
      </c>
      <c r="F65" t="s">
        <v>1</v>
      </c>
      <c r="G65" t="s">
        <v>1</v>
      </c>
      <c r="H65" s="14">
        <f ca="1">SUM(H5:H64)</f>
        <v>189.53906400000005</v>
      </c>
    </row>
    <row r="66" spans="1:8" x14ac:dyDescent="0.3">
      <c r="A66" s="1"/>
      <c r="B66" t="s">
        <v>1</v>
      </c>
      <c r="C66" t="s">
        <v>1</v>
      </c>
      <c r="D66" t="s">
        <v>1</v>
      </c>
      <c r="F66" t="s">
        <v>1</v>
      </c>
      <c r="G66" t="s">
        <v>1</v>
      </c>
      <c r="H66" t="s">
        <v>1</v>
      </c>
    </row>
    <row r="67" spans="1:8" x14ac:dyDescent="0.3">
      <c r="A67" s="1"/>
      <c r="B67" t="s">
        <v>1</v>
      </c>
      <c r="C67" t="s">
        <v>1</v>
      </c>
      <c r="D67" t="s">
        <v>1</v>
      </c>
      <c r="E67" t="s">
        <v>1</v>
      </c>
      <c r="F67" t="s">
        <v>1</v>
      </c>
      <c r="G67" t="s">
        <v>1</v>
      </c>
      <c r="H67" t="s">
        <v>1</v>
      </c>
    </row>
    <row r="68" spans="1:8" ht="15.6" x14ac:dyDescent="0.3">
      <c r="A68" t="s">
        <v>170</v>
      </c>
      <c r="B68" t="s">
        <v>171</v>
      </c>
      <c r="C68" t="s">
        <v>172</v>
      </c>
      <c r="D68" t="s">
        <v>173</v>
      </c>
      <c r="E68" s="2" t="s">
        <v>174</v>
      </c>
      <c r="F68" s="2" t="s">
        <v>175</v>
      </c>
      <c r="G68" s="2" t="s">
        <v>176</v>
      </c>
      <c r="H68" s="2" t="s">
        <v>177</v>
      </c>
    </row>
    <row r="69" spans="1:8" ht="15.6" x14ac:dyDescent="0.3">
      <c r="A69" t="s">
        <v>178</v>
      </c>
      <c r="B69" t="s">
        <v>179</v>
      </c>
      <c r="C69" t="s">
        <v>12</v>
      </c>
      <c r="D69" t="s">
        <v>180</v>
      </c>
      <c r="E69" s="2">
        <v>2</v>
      </c>
      <c r="F69" s="11">
        <v>4.9000000000000004</v>
      </c>
      <c r="G69" s="11">
        <v>5</v>
      </c>
      <c r="H69" s="13">
        <v>14.8</v>
      </c>
    </row>
    <row r="70" spans="1:8" ht="15.6" x14ac:dyDescent="0.3">
      <c r="A70" t="s">
        <v>181</v>
      </c>
      <c r="B70" t="s">
        <v>182</v>
      </c>
      <c r="C70" t="s">
        <v>17</v>
      </c>
      <c r="D70" t="s">
        <v>183</v>
      </c>
      <c r="E70" s="2">
        <v>1</v>
      </c>
      <c r="F70" s="12">
        <v>10.3</v>
      </c>
      <c r="G70" s="12">
        <v>0</v>
      </c>
      <c r="H70" s="13">
        <v>10.3</v>
      </c>
    </row>
    <row r="71" spans="1:8" ht="15.6" x14ac:dyDescent="0.3">
      <c r="A71" t="s">
        <v>184</v>
      </c>
      <c r="B71" t="s">
        <v>185</v>
      </c>
      <c r="C71" t="s">
        <v>22</v>
      </c>
      <c r="D71" t="s">
        <v>186</v>
      </c>
      <c r="E71" s="2">
        <v>1</v>
      </c>
      <c r="F71" s="11">
        <v>1.06</v>
      </c>
      <c r="G71" s="12">
        <v>2.7</v>
      </c>
      <c r="H71" s="13">
        <v>3.76</v>
      </c>
    </row>
    <row r="72" spans="1:8" ht="15.6" x14ac:dyDescent="0.3">
      <c r="A72" t="s">
        <v>187</v>
      </c>
      <c r="B72" t="s">
        <v>188</v>
      </c>
      <c r="C72" t="s">
        <v>26</v>
      </c>
      <c r="D72" t="s">
        <v>189</v>
      </c>
      <c r="E72" s="2">
        <v>1</v>
      </c>
      <c r="F72" s="12">
        <v>2.95</v>
      </c>
      <c r="G72" s="12">
        <v>0</v>
      </c>
      <c r="H72" s="13">
        <v>2.95</v>
      </c>
    </row>
    <row r="73" spans="1:8" ht="15.6" x14ac:dyDescent="0.3">
      <c r="A73" t="s">
        <v>190</v>
      </c>
      <c r="B73" t="s">
        <v>188</v>
      </c>
      <c r="C73" t="s">
        <v>29</v>
      </c>
      <c r="D73" t="s">
        <v>191</v>
      </c>
      <c r="E73" s="2">
        <v>1</v>
      </c>
      <c r="F73" s="12">
        <v>3.45</v>
      </c>
      <c r="G73" s="12">
        <v>0</v>
      </c>
      <c r="H73" s="13">
        <v>3.45</v>
      </c>
    </row>
    <row r="74" spans="1:8" ht="15.6" x14ac:dyDescent="0.3">
      <c r="A74" t="s">
        <v>192</v>
      </c>
      <c r="B74" t="s">
        <v>193</v>
      </c>
      <c r="C74" t="s">
        <v>33</v>
      </c>
      <c r="D74" t="s">
        <v>194</v>
      </c>
      <c r="E74" s="2">
        <v>1</v>
      </c>
      <c r="F74" s="12">
        <v>2.0499999999999998</v>
      </c>
      <c r="G74" s="12">
        <v>0</v>
      </c>
      <c r="H74" s="13">
        <v>2.0499999999999998</v>
      </c>
    </row>
    <row r="75" spans="1:8" ht="15.6" x14ac:dyDescent="0.3">
      <c r="A75" t="s">
        <v>195</v>
      </c>
      <c r="B75" t="s">
        <v>185</v>
      </c>
      <c r="C75" t="s">
        <v>36</v>
      </c>
      <c r="D75" t="s">
        <v>37</v>
      </c>
      <c r="E75" s="2">
        <v>1</v>
      </c>
      <c r="F75" s="12">
        <v>0.4</v>
      </c>
      <c r="G75" s="12">
        <v>3.7</v>
      </c>
      <c r="H75" s="13">
        <v>5.38</v>
      </c>
    </row>
    <row r="76" spans="1:8" ht="15.6" x14ac:dyDescent="0.3">
      <c r="A76" t="s">
        <v>184</v>
      </c>
      <c r="B76" t="s">
        <v>1</v>
      </c>
      <c r="C76" t="s">
        <v>22</v>
      </c>
      <c r="D76" t="s">
        <v>186</v>
      </c>
      <c r="E76" s="2">
        <v>1</v>
      </c>
      <c r="F76" s="12">
        <v>1.06</v>
      </c>
      <c r="G76" s="12"/>
      <c r="H76" s="13"/>
    </row>
    <row r="77" spans="1:8" ht="15.6" x14ac:dyDescent="0.3">
      <c r="A77" t="s">
        <v>196</v>
      </c>
      <c r="B77" t="s">
        <v>1</v>
      </c>
      <c r="C77" t="s">
        <v>39</v>
      </c>
      <c r="D77" t="s">
        <v>197</v>
      </c>
      <c r="E77" s="2">
        <v>1</v>
      </c>
      <c r="F77" s="12">
        <v>0.22</v>
      </c>
      <c r="G77" s="12"/>
      <c r="H77" s="13"/>
    </row>
    <row r="78" spans="1:8" ht="15.6" x14ac:dyDescent="0.3">
      <c r="A78" t="s">
        <v>198</v>
      </c>
      <c r="B78" t="s">
        <v>199</v>
      </c>
      <c r="C78" t="s">
        <v>43</v>
      </c>
      <c r="D78" t="s">
        <v>200</v>
      </c>
      <c r="E78" s="2">
        <v>1</v>
      </c>
      <c r="F78" s="12">
        <v>220</v>
      </c>
      <c r="G78" s="12">
        <v>0</v>
      </c>
      <c r="H78" s="13">
        <v>220</v>
      </c>
    </row>
    <row r="79" spans="1:8" ht="15.6" x14ac:dyDescent="0.3">
      <c r="A79" t="s">
        <v>201</v>
      </c>
      <c r="B79" t="s">
        <v>202</v>
      </c>
      <c r="C79" t="s">
        <v>47</v>
      </c>
      <c r="D79" t="s">
        <v>203</v>
      </c>
      <c r="E79" s="2">
        <v>1</v>
      </c>
      <c r="F79" s="12">
        <v>10.44</v>
      </c>
      <c r="G79" s="12">
        <v>0</v>
      </c>
      <c r="H79" s="13">
        <v>110.34</v>
      </c>
    </row>
    <row r="80" spans="1:8" ht="15.6" x14ac:dyDescent="0.3">
      <c r="A80" t="s">
        <v>204</v>
      </c>
      <c r="B80" t="s">
        <v>1</v>
      </c>
      <c r="C80" t="s">
        <v>50</v>
      </c>
      <c r="D80" t="s">
        <v>205</v>
      </c>
      <c r="E80" s="2">
        <v>1</v>
      </c>
      <c r="F80" s="12">
        <v>9.09</v>
      </c>
      <c r="G80" s="12"/>
      <c r="H80" s="13"/>
    </row>
    <row r="81" spans="1:8" ht="15.6" x14ac:dyDescent="0.3">
      <c r="A81" t="s">
        <v>206</v>
      </c>
      <c r="B81" t="s">
        <v>1</v>
      </c>
      <c r="C81" t="s">
        <v>53</v>
      </c>
      <c r="D81" t="s">
        <v>207</v>
      </c>
      <c r="E81" s="2">
        <v>1</v>
      </c>
      <c r="F81" s="12">
        <v>10.91</v>
      </c>
      <c r="G81" s="12"/>
      <c r="H81" s="13"/>
    </row>
    <row r="82" spans="1:8" ht="15.6" x14ac:dyDescent="0.3">
      <c r="A82" t="s">
        <v>208</v>
      </c>
      <c r="B82" t="s">
        <v>1</v>
      </c>
      <c r="C82" t="s">
        <v>56</v>
      </c>
      <c r="D82" t="s">
        <v>209</v>
      </c>
      <c r="E82" s="2">
        <v>1</v>
      </c>
      <c r="F82" s="12">
        <v>79.900000000000006</v>
      </c>
      <c r="G82" s="12"/>
      <c r="H82" s="13"/>
    </row>
    <row r="83" spans="1:8" ht="15.6" x14ac:dyDescent="0.3">
      <c r="A83" t="s">
        <v>210</v>
      </c>
      <c r="B83" t="s">
        <v>211</v>
      </c>
      <c r="C83" t="s">
        <v>60</v>
      </c>
      <c r="D83" t="s">
        <v>212</v>
      </c>
      <c r="E83" s="2">
        <v>1</v>
      </c>
      <c r="F83" s="12">
        <v>5</v>
      </c>
      <c r="G83" s="12">
        <v>5</v>
      </c>
      <c r="H83" s="13">
        <v>10</v>
      </c>
    </row>
    <row r="84" spans="1:8" ht="15.6" x14ac:dyDescent="0.3">
      <c r="A84" t="s">
        <v>213</v>
      </c>
      <c r="B84" t="s">
        <v>214</v>
      </c>
      <c r="C84" t="s">
        <v>64</v>
      </c>
      <c r="D84" t="s">
        <v>215</v>
      </c>
      <c r="E84" s="2">
        <v>1</v>
      </c>
      <c r="F84" s="12">
        <v>45</v>
      </c>
      <c r="G84" s="12">
        <v>0</v>
      </c>
      <c r="H84" s="13">
        <v>45</v>
      </c>
    </row>
    <row r="85" spans="1:8" ht="15.6" x14ac:dyDescent="0.3">
      <c r="A85" t="s">
        <v>216</v>
      </c>
      <c r="B85" t="s">
        <v>217</v>
      </c>
      <c r="C85" t="s">
        <v>68</v>
      </c>
      <c r="D85" t="s">
        <v>218</v>
      </c>
      <c r="E85" s="2">
        <v>1</v>
      </c>
      <c r="F85" s="12">
        <v>25.5</v>
      </c>
      <c r="G85" s="12">
        <v>16</v>
      </c>
      <c r="H85" s="13">
        <v>41.5</v>
      </c>
    </row>
    <row r="86" spans="1:8" ht="15.6" x14ac:dyDescent="0.3">
      <c r="A86" t="s">
        <v>219</v>
      </c>
      <c r="B86" t="s">
        <v>220</v>
      </c>
      <c r="C86" t="s">
        <v>72</v>
      </c>
      <c r="D86" t="s">
        <v>221</v>
      </c>
      <c r="E86" s="2">
        <v>2</v>
      </c>
      <c r="F86" s="12">
        <v>19.97</v>
      </c>
      <c r="G86" s="12">
        <v>0</v>
      </c>
      <c r="H86" s="13">
        <v>99.94</v>
      </c>
    </row>
    <row r="87" spans="1:8" ht="15.6" x14ac:dyDescent="0.3">
      <c r="A87" t="s">
        <v>219</v>
      </c>
      <c r="B87" t="s">
        <v>1</v>
      </c>
      <c r="C87" t="s">
        <v>72</v>
      </c>
      <c r="D87" t="s">
        <v>222</v>
      </c>
      <c r="E87" s="2">
        <v>5</v>
      </c>
      <c r="F87" s="12">
        <v>12</v>
      </c>
      <c r="G87" s="12"/>
      <c r="H87" s="13"/>
    </row>
    <row r="88" spans="1:8" ht="15.6" x14ac:dyDescent="0.3">
      <c r="A88" t="s">
        <v>223</v>
      </c>
      <c r="B88" t="s">
        <v>224</v>
      </c>
      <c r="C88" t="s">
        <v>78</v>
      </c>
      <c r="D88" t="s">
        <v>225</v>
      </c>
      <c r="E88" s="2">
        <v>1</v>
      </c>
      <c r="F88" s="12">
        <v>3.83</v>
      </c>
      <c r="G88" s="12">
        <v>0</v>
      </c>
      <c r="H88" s="13">
        <v>68.959999999999994</v>
      </c>
    </row>
    <row r="89" spans="1:8" ht="15.6" x14ac:dyDescent="0.3">
      <c r="A89" t="s">
        <v>223</v>
      </c>
      <c r="B89" t="s">
        <v>1</v>
      </c>
      <c r="C89" t="s">
        <v>78</v>
      </c>
      <c r="D89" t="s">
        <v>226</v>
      </c>
      <c r="E89" s="2">
        <v>1</v>
      </c>
      <c r="F89" s="12">
        <v>7.08</v>
      </c>
      <c r="G89" s="12"/>
      <c r="H89" s="13"/>
    </row>
    <row r="90" spans="1:8" ht="15.6" x14ac:dyDescent="0.3">
      <c r="A90" t="s">
        <v>223</v>
      </c>
      <c r="B90" t="s">
        <v>1</v>
      </c>
      <c r="C90" t="s">
        <v>78</v>
      </c>
      <c r="D90" t="s">
        <v>227</v>
      </c>
      <c r="E90" s="2">
        <v>1</v>
      </c>
      <c r="F90" s="12">
        <v>5.29</v>
      </c>
      <c r="G90" s="12"/>
      <c r="H90" s="13"/>
    </row>
    <row r="91" spans="1:8" ht="15.6" x14ac:dyDescent="0.3">
      <c r="A91" t="s">
        <v>223</v>
      </c>
      <c r="B91" t="s">
        <v>1</v>
      </c>
      <c r="C91" t="s">
        <v>78</v>
      </c>
      <c r="D91" t="s">
        <v>228</v>
      </c>
      <c r="E91" s="2">
        <v>1</v>
      </c>
      <c r="F91" s="12">
        <v>3.9</v>
      </c>
      <c r="G91" s="12"/>
      <c r="H91" s="13"/>
    </row>
    <row r="92" spans="1:8" ht="15.6" x14ac:dyDescent="0.3">
      <c r="A92" t="s">
        <v>223</v>
      </c>
      <c r="B92" t="s">
        <v>1</v>
      </c>
      <c r="C92" t="s">
        <v>78</v>
      </c>
      <c r="D92" t="s">
        <v>229</v>
      </c>
      <c r="E92" s="2">
        <v>1</v>
      </c>
      <c r="F92" s="12">
        <v>3.61</v>
      </c>
      <c r="G92" s="12"/>
      <c r="H92" s="13"/>
    </row>
    <row r="93" spans="1:8" ht="15.6" x14ac:dyDescent="0.3">
      <c r="A93" t="s">
        <v>223</v>
      </c>
      <c r="B93" t="s">
        <v>1</v>
      </c>
      <c r="C93" t="s">
        <v>78</v>
      </c>
      <c r="D93" t="s">
        <v>230</v>
      </c>
      <c r="E93" s="2">
        <v>1</v>
      </c>
      <c r="F93" s="12">
        <v>6</v>
      </c>
      <c r="G93" s="12"/>
      <c r="H93" s="13"/>
    </row>
    <row r="94" spans="1:8" ht="15.6" x14ac:dyDescent="0.3">
      <c r="A94" t="s">
        <v>223</v>
      </c>
      <c r="B94" t="s">
        <v>1</v>
      </c>
      <c r="C94" t="s">
        <v>78</v>
      </c>
      <c r="D94" t="s">
        <v>231</v>
      </c>
      <c r="E94" s="2">
        <v>1</v>
      </c>
      <c r="F94" s="12">
        <v>5.2</v>
      </c>
      <c r="G94" s="12"/>
      <c r="H94" s="13"/>
    </row>
    <row r="95" spans="1:8" ht="15.6" x14ac:dyDescent="0.3">
      <c r="A95" t="s">
        <v>223</v>
      </c>
      <c r="B95" t="s">
        <v>1</v>
      </c>
      <c r="C95" t="s">
        <v>78</v>
      </c>
      <c r="D95" t="s">
        <v>232</v>
      </c>
      <c r="E95" s="2">
        <v>1</v>
      </c>
      <c r="F95" s="12">
        <v>3.5</v>
      </c>
      <c r="G95" s="12"/>
      <c r="H95" s="13"/>
    </row>
    <row r="96" spans="1:8" ht="15.6" x14ac:dyDescent="0.3">
      <c r="A96" t="s">
        <v>233</v>
      </c>
      <c r="B96" t="s">
        <v>1</v>
      </c>
      <c r="C96" t="s">
        <v>88</v>
      </c>
      <c r="D96" t="s">
        <v>234</v>
      </c>
      <c r="E96" s="2">
        <v>1</v>
      </c>
      <c r="F96" s="12">
        <v>4.33</v>
      </c>
      <c r="G96" s="12"/>
      <c r="H96" s="13"/>
    </row>
    <row r="97" spans="1:8" ht="15.6" x14ac:dyDescent="0.3">
      <c r="A97" t="s">
        <v>233</v>
      </c>
      <c r="B97" t="s">
        <v>1</v>
      </c>
      <c r="C97" t="s">
        <v>88</v>
      </c>
      <c r="D97" t="s">
        <v>235</v>
      </c>
      <c r="E97" s="2">
        <v>1</v>
      </c>
      <c r="F97" s="12">
        <v>3.84</v>
      </c>
      <c r="G97" s="12"/>
      <c r="H97" s="13"/>
    </row>
    <row r="98" spans="1:8" ht="15.6" x14ac:dyDescent="0.3">
      <c r="A98" t="s">
        <v>233</v>
      </c>
      <c r="B98" t="s">
        <v>1</v>
      </c>
      <c r="C98" t="s">
        <v>88</v>
      </c>
      <c r="D98" t="s">
        <v>236</v>
      </c>
      <c r="E98" s="2">
        <v>1</v>
      </c>
      <c r="F98" s="12">
        <v>3.54</v>
      </c>
      <c r="G98" s="12"/>
      <c r="H98" s="13"/>
    </row>
    <row r="99" spans="1:8" ht="15.6" x14ac:dyDescent="0.3">
      <c r="A99" t="s">
        <v>233</v>
      </c>
      <c r="B99" t="s">
        <v>1</v>
      </c>
      <c r="C99" t="s">
        <v>88</v>
      </c>
      <c r="D99" t="s">
        <v>237</v>
      </c>
      <c r="E99" s="2">
        <v>1</v>
      </c>
      <c r="F99" s="12">
        <v>3.2</v>
      </c>
      <c r="G99" s="12"/>
      <c r="H99" s="13"/>
    </row>
    <row r="100" spans="1:8" ht="15.6" x14ac:dyDescent="0.3">
      <c r="A100" t="s">
        <v>233</v>
      </c>
      <c r="B100" t="s">
        <v>1</v>
      </c>
      <c r="C100" t="s">
        <v>88</v>
      </c>
      <c r="D100" t="s">
        <v>238</v>
      </c>
      <c r="E100" s="2">
        <v>1</v>
      </c>
      <c r="F100" s="12">
        <v>3.02</v>
      </c>
      <c r="G100" s="12"/>
      <c r="H100" s="13"/>
    </row>
    <row r="101" spans="1:8" ht="15.6" x14ac:dyDescent="0.3">
      <c r="A101" t="s">
        <v>233</v>
      </c>
      <c r="B101" t="s">
        <v>1</v>
      </c>
      <c r="C101" t="s">
        <v>88</v>
      </c>
      <c r="D101" t="s">
        <v>239</v>
      </c>
      <c r="E101" s="2">
        <v>1</v>
      </c>
      <c r="F101" s="12">
        <v>2.84</v>
      </c>
      <c r="G101" s="12"/>
      <c r="H101" s="13"/>
    </row>
    <row r="102" spans="1:8" ht="15.6" x14ac:dyDescent="0.3">
      <c r="A102" t="s">
        <v>233</v>
      </c>
      <c r="B102" t="s">
        <v>1</v>
      </c>
      <c r="C102" t="s">
        <v>88</v>
      </c>
      <c r="D102" t="s">
        <v>240</v>
      </c>
      <c r="E102" s="2">
        <v>1</v>
      </c>
      <c r="F102" s="11">
        <v>5.16</v>
      </c>
      <c r="G102" s="12"/>
      <c r="H102" s="13"/>
    </row>
    <row r="103" spans="1:8" ht="15.6" x14ac:dyDescent="0.3">
      <c r="A103" t="s">
        <v>233</v>
      </c>
      <c r="B103" t="s">
        <v>1</v>
      </c>
      <c r="C103" t="s">
        <v>88</v>
      </c>
      <c r="D103" t="s">
        <v>241</v>
      </c>
      <c r="E103" s="2">
        <v>1</v>
      </c>
      <c r="F103" s="12">
        <v>4.62</v>
      </c>
      <c r="G103" s="12"/>
      <c r="H103" s="13"/>
    </row>
    <row r="104" spans="1:8" ht="15.6" x14ac:dyDescent="0.3">
      <c r="A104" t="s">
        <v>242</v>
      </c>
      <c r="B104" t="s">
        <v>243</v>
      </c>
      <c r="C104" t="s">
        <v>99</v>
      </c>
      <c r="D104" t="s">
        <v>244</v>
      </c>
      <c r="E104" s="2">
        <v>1</v>
      </c>
      <c r="F104" s="12">
        <v>59.9</v>
      </c>
      <c r="G104" s="12">
        <v>0</v>
      </c>
      <c r="H104" s="13">
        <v>59.9</v>
      </c>
    </row>
    <row r="105" spans="1:8" ht="15.6" x14ac:dyDescent="0.3">
      <c r="A105" t="s">
        <v>245</v>
      </c>
      <c r="B105" t="s">
        <v>185</v>
      </c>
      <c r="C105" t="s">
        <v>102</v>
      </c>
      <c r="D105" t="s">
        <v>200</v>
      </c>
      <c r="E105" s="2">
        <v>1</v>
      </c>
      <c r="F105" s="12">
        <v>11</v>
      </c>
      <c r="G105" s="12">
        <v>3.7</v>
      </c>
      <c r="H105" s="13">
        <v>45.2</v>
      </c>
    </row>
    <row r="106" spans="1:8" ht="15.6" x14ac:dyDescent="0.3">
      <c r="A106" t="s">
        <v>246</v>
      </c>
      <c r="B106" t="s">
        <v>1</v>
      </c>
      <c r="C106" t="s">
        <v>104</v>
      </c>
      <c r="D106" t="s">
        <v>247</v>
      </c>
      <c r="E106" s="2">
        <v>1</v>
      </c>
      <c r="F106" s="12">
        <v>22</v>
      </c>
      <c r="G106" s="12"/>
      <c r="H106" s="13"/>
    </row>
    <row r="107" spans="1:8" ht="15.6" x14ac:dyDescent="0.3">
      <c r="A107" t="s">
        <v>248</v>
      </c>
      <c r="B107" t="s">
        <v>1</v>
      </c>
      <c r="C107" t="s">
        <v>107</v>
      </c>
      <c r="D107" t="s">
        <v>249</v>
      </c>
      <c r="E107" s="2">
        <v>1</v>
      </c>
      <c r="F107" s="12">
        <v>8.5</v>
      </c>
      <c r="G107" s="12"/>
      <c r="H107" s="13"/>
    </row>
    <row r="108" spans="1:8" ht="15.6" x14ac:dyDescent="0.3">
      <c r="A108" t="s">
        <v>250</v>
      </c>
      <c r="B108" t="s">
        <v>251</v>
      </c>
      <c r="C108" t="s">
        <v>111</v>
      </c>
      <c r="D108" t="s">
        <v>252</v>
      </c>
      <c r="E108" s="2">
        <v>1</v>
      </c>
      <c r="F108" s="12">
        <v>3.97</v>
      </c>
      <c r="G108" s="12">
        <v>0</v>
      </c>
      <c r="H108" s="13">
        <v>3.97</v>
      </c>
    </row>
    <row r="109" spans="1:8" ht="15.6" x14ac:dyDescent="0.3">
      <c r="A109" t="s">
        <v>253</v>
      </c>
      <c r="B109" t="s">
        <v>254</v>
      </c>
      <c r="C109" t="s">
        <v>115</v>
      </c>
      <c r="D109" t="s">
        <v>200</v>
      </c>
      <c r="E109" s="2">
        <v>1</v>
      </c>
      <c r="F109" s="11">
        <v>34.5</v>
      </c>
      <c r="G109" s="12">
        <v>5</v>
      </c>
      <c r="H109" s="13">
        <v>39.5</v>
      </c>
    </row>
    <row r="110" spans="1:8" ht="15.6" x14ac:dyDescent="0.3">
      <c r="A110" t="s">
        <v>255</v>
      </c>
      <c r="B110" t="s">
        <v>256</v>
      </c>
      <c r="C110" t="s">
        <v>118</v>
      </c>
      <c r="D110" t="s">
        <v>257</v>
      </c>
      <c r="E110" s="2">
        <v>1</v>
      </c>
      <c r="F110" s="12">
        <v>1.8</v>
      </c>
      <c r="G110" s="12">
        <v>0</v>
      </c>
      <c r="H110" s="13">
        <v>1.8</v>
      </c>
    </row>
    <row r="111" spans="1:8" ht="15.6" x14ac:dyDescent="0.3">
      <c r="A111" t="s">
        <v>258</v>
      </c>
      <c r="B111" t="s">
        <v>259</v>
      </c>
      <c r="C111" t="s">
        <v>122</v>
      </c>
      <c r="D111" t="s">
        <v>200</v>
      </c>
      <c r="E111" s="2">
        <v>1</v>
      </c>
      <c r="F111" s="12">
        <v>16.329999999999998</v>
      </c>
      <c r="G111" s="12">
        <v>0</v>
      </c>
      <c r="H111" s="13">
        <v>16.329999999999998</v>
      </c>
    </row>
    <row r="112" spans="1:8" ht="15.6" x14ac:dyDescent="0.3">
      <c r="A112" t="s">
        <v>260</v>
      </c>
      <c r="B112" t="s">
        <v>261</v>
      </c>
      <c r="C112" t="s">
        <v>125</v>
      </c>
      <c r="D112" t="s">
        <v>262</v>
      </c>
      <c r="E112" s="2">
        <v>1</v>
      </c>
      <c r="F112" s="12">
        <v>80</v>
      </c>
      <c r="G112" s="12">
        <v>3</v>
      </c>
      <c r="H112" s="13">
        <v>83</v>
      </c>
    </row>
    <row r="113" spans="1:8" ht="15.6" x14ac:dyDescent="0.3">
      <c r="A113" t="s">
        <v>263</v>
      </c>
      <c r="B113" t="s">
        <v>264</v>
      </c>
      <c r="C113" t="s">
        <v>129</v>
      </c>
      <c r="D113" t="s">
        <v>265</v>
      </c>
      <c r="E113" s="2">
        <v>1</v>
      </c>
      <c r="F113" s="12">
        <v>7.22</v>
      </c>
      <c r="G113" s="12">
        <v>0</v>
      </c>
      <c r="H113" s="13">
        <v>7.22</v>
      </c>
    </row>
    <row r="114" spans="1:8" ht="15.6" x14ac:dyDescent="0.3">
      <c r="A114" t="s">
        <v>266</v>
      </c>
      <c r="B114" t="s">
        <v>267</v>
      </c>
      <c r="C114" t="s">
        <v>133</v>
      </c>
      <c r="D114" t="s">
        <v>268</v>
      </c>
      <c r="E114" s="2">
        <v>1</v>
      </c>
      <c r="F114" s="12">
        <v>35</v>
      </c>
      <c r="G114" s="12">
        <v>0</v>
      </c>
      <c r="H114" s="13">
        <v>35</v>
      </c>
    </row>
    <row r="115" spans="1:8" ht="15.6" x14ac:dyDescent="0.3">
      <c r="A115" t="s">
        <v>269</v>
      </c>
      <c r="B115" t="s">
        <v>217</v>
      </c>
      <c r="C115" t="s">
        <v>136</v>
      </c>
      <c r="D115" t="s">
        <v>137</v>
      </c>
      <c r="E115" s="2">
        <v>1</v>
      </c>
      <c r="F115" s="12">
        <v>275</v>
      </c>
      <c r="G115" s="12">
        <v>16</v>
      </c>
      <c r="H115" s="13">
        <v>291</v>
      </c>
    </row>
    <row r="116" spans="1:8" ht="15.6" x14ac:dyDescent="0.3">
      <c r="A116" t="s">
        <v>270</v>
      </c>
      <c r="B116" t="s">
        <v>271</v>
      </c>
      <c r="C116" t="s">
        <v>140</v>
      </c>
      <c r="D116" t="s">
        <v>272</v>
      </c>
      <c r="E116" s="2">
        <v>1</v>
      </c>
      <c r="F116" s="12">
        <v>6.3</v>
      </c>
      <c r="G116" s="12">
        <v>0</v>
      </c>
      <c r="H116" s="13">
        <v>6.3</v>
      </c>
    </row>
    <row r="117" spans="1:8" ht="15.6" x14ac:dyDescent="0.3">
      <c r="A117" t="s">
        <v>178</v>
      </c>
      <c r="B117" t="s">
        <v>179</v>
      </c>
      <c r="C117" t="s">
        <v>142</v>
      </c>
      <c r="D117" t="s">
        <v>273</v>
      </c>
      <c r="E117" s="2">
        <v>1</v>
      </c>
      <c r="F117" s="12">
        <v>4.0999999999999996</v>
      </c>
      <c r="G117" s="12">
        <v>5</v>
      </c>
      <c r="H117" s="13">
        <v>9.1</v>
      </c>
    </row>
    <row r="118" spans="1:8" ht="15.6" x14ac:dyDescent="0.3">
      <c r="A118" t="s">
        <v>274</v>
      </c>
      <c r="B118" t="s">
        <v>275</v>
      </c>
      <c r="C118" t="s">
        <v>146</v>
      </c>
      <c r="D118" t="s">
        <v>276</v>
      </c>
      <c r="E118" s="2">
        <v>1</v>
      </c>
      <c r="F118" s="12">
        <v>6.38</v>
      </c>
      <c r="G118" s="12">
        <v>0</v>
      </c>
      <c r="H118" s="13">
        <v>6.38</v>
      </c>
    </row>
    <row r="119" spans="1:8" ht="15.6" x14ac:dyDescent="0.3">
      <c r="A119" t="s">
        <v>277</v>
      </c>
      <c r="B119" t="s">
        <v>278</v>
      </c>
      <c r="C119" t="s">
        <v>150</v>
      </c>
      <c r="D119" t="s">
        <v>279</v>
      </c>
      <c r="E119" s="2">
        <v>1</v>
      </c>
      <c r="F119" s="12">
        <v>3.82</v>
      </c>
      <c r="G119" s="12">
        <v>0</v>
      </c>
      <c r="H119" s="13">
        <v>21.92</v>
      </c>
    </row>
    <row r="120" spans="1:8" ht="15.6" x14ac:dyDescent="0.3">
      <c r="A120" t="s">
        <v>277</v>
      </c>
      <c r="B120" t="s">
        <v>1</v>
      </c>
      <c r="C120" t="s">
        <v>150</v>
      </c>
      <c r="D120" t="s">
        <v>280</v>
      </c>
      <c r="E120" s="2">
        <v>1</v>
      </c>
      <c r="F120" s="12">
        <v>3.82</v>
      </c>
      <c r="G120" s="12"/>
      <c r="H120" s="13"/>
    </row>
    <row r="121" spans="1:8" ht="15.6" x14ac:dyDescent="0.3">
      <c r="A121" t="s">
        <v>277</v>
      </c>
      <c r="B121" t="s">
        <v>1</v>
      </c>
      <c r="C121" t="s">
        <v>150</v>
      </c>
      <c r="D121" t="s">
        <v>281</v>
      </c>
      <c r="E121" s="2">
        <v>1</v>
      </c>
      <c r="F121" s="12">
        <v>2.82</v>
      </c>
      <c r="G121" s="12"/>
      <c r="H121" s="13"/>
    </row>
    <row r="122" spans="1:8" ht="15.6" x14ac:dyDescent="0.3">
      <c r="A122" t="s">
        <v>277</v>
      </c>
      <c r="B122" t="s">
        <v>1</v>
      </c>
      <c r="C122" t="s">
        <v>150</v>
      </c>
      <c r="D122" t="s">
        <v>282</v>
      </c>
      <c r="E122" s="2">
        <v>1</v>
      </c>
      <c r="F122" s="12">
        <v>3.82</v>
      </c>
      <c r="G122" s="12"/>
      <c r="H122" s="13"/>
    </row>
    <row r="123" spans="1:8" ht="15.6" x14ac:dyDescent="0.3">
      <c r="A123" t="s">
        <v>277</v>
      </c>
      <c r="B123" t="s">
        <v>1</v>
      </c>
      <c r="C123" t="s">
        <v>150</v>
      </c>
      <c r="D123" t="s">
        <v>283</v>
      </c>
      <c r="E123" s="2">
        <v>1</v>
      </c>
      <c r="F123" s="12">
        <v>3.82</v>
      </c>
      <c r="G123" s="12"/>
      <c r="H123" s="13"/>
    </row>
    <row r="124" spans="1:8" ht="15.6" x14ac:dyDescent="0.3">
      <c r="A124" t="s">
        <v>277</v>
      </c>
      <c r="B124" t="s">
        <v>1</v>
      </c>
      <c r="C124" t="s">
        <v>150</v>
      </c>
      <c r="D124" t="s">
        <v>284</v>
      </c>
      <c r="E124" s="2">
        <v>1</v>
      </c>
      <c r="F124" s="12">
        <v>3.82</v>
      </c>
      <c r="G124" s="12"/>
      <c r="H124" s="13"/>
    </row>
    <row r="125" spans="1:8" ht="15.6" x14ac:dyDescent="0.3">
      <c r="A125" t="s">
        <v>285</v>
      </c>
      <c r="B125" t="s">
        <v>286</v>
      </c>
      <c r="C125" t="s">
        <v>159</v>
      </c>
      <c r="D125" t="s">
        <v>287</v>
      </c>
      <c r="E125" s="2">
        <v>2</v>
      </c>
      <c r="F125" s="12">
        <v>2.8</v>
      </c>
      <c r="G125" s="12">
        <v>0</v>
      </c>
      <c r="H125" s="13">
        <v>11.2</v>
      </c>
    </row>
    <row r="126" spans="1:8" ht="15.6" x14ac:dyDescent="0.3">
      <c r="A126" t="s">
        <v>285</v>
      </c>
      <c r="B126" t="s">
        <v>1</v>
      </c>
      <c r="C126" t="s">
        <v>159</v>
      </c>
      <c r="D126" t="s">
        <v>288</v>
      </c>
      <c r="E126" s="2">
        <v>2</v>
      </c>
      <c r="F126" s="12">
        <v>2.8</v>
      </c>
      <c r="G126" s="12"/>
      <c r="H126" s="13"/>
    </row>
    <row r="127" spans="1:8" ht="15.6" x14ac:dyDescent="0.3">
      <c r="A127" t="s">
        <v>289</v>
      </c>
      <c r="B127" t="s">
        <v>290</v>
      </c>
      <c r="C127" t="s">
        <v>164</v>
      </c>
      <c r="D127" t="s">
        <v>291</v>
      </c>
      <c r="E127" s="2">
        <v>1</v>
      </c>
      <c r="F127" s="12">
        <v>2.72</v>
      </c>
      <c r="G127" s="12">
        <v>0</v>
      </c>
      <c r="H127" s="13">
        <v>7.89</v>
      </c>
    </row>
    <row r="128" spans="1:8" ht="15.6" x14ac:dyDescent="0.3">
      <c r="A128" t="s">
        <v>292</v>
      </c>
      <c r="B128" t="s">
        <v>1</v>
      </c>
      <c r="C128" t="s">
        <v>167</v>
      </c>
      <c r="D128" t="s">
        <v>293</v>
      </c>
      <c r="E128" s="2">
        <v>1</v>
      </c>
      <c r="F128" s="12">
        <v>5.17</v>
      </c>
      <c r="G128" s="12"/>
      <c r="H128" s="13"/>
    </row>
    <row r="129" spans="1:8" ht="15.6" x14ac:dyDescent="0.3">
      <c r="A129" s="9"/>
      <c r="B129" s="9"/>
      <c r="C129" s="9"/>
      <c r="D129" s="9"/>
      <c r="H129" s="12">
        <f>SUM(H69:H128)</f>
        <v>1284.1400000000003</v>
      </c>
    </row>
    <row r="135" spans="1:8" ht="15.6" x14ac:dyDescent="0.3">
      <c r="C135" s="2"/>
      <c r="D135" s="2"/>
      <c r="E135" s="2"/>
      <c r="F135" s="2"/>
    </row>
    <row r="136" spans="1:8" ht="15.6" x14ac:dyDescent="0.3">
      <c r="C136" s="2"/>
      <c r="D136" s="2"/>
      <c r="E136" s="2"/>
      <c r="F136" s="3"/>
    </row>
    <row r="137" spans="1:8" ht="15.6" x14ac:dyDescent="0.3">
      <c r="C137" s="2"/>
      <c r="D137" s="2"/>
      <c r="E137" s="2"/>
      <c r="F137" s="3"/>
    </row>
    <row r="138" spans="1:8" ht="15.6" x14ac:dyDescent="0.3">
      <c r="C138" s="2"/>
      <c r="D138" s="2"/>
      <c r="E138" s="2"/>
      <c r="F138" s="3"/>
    </row>
    <row r="139" spans="1:8" ht="15.6" x14ac:dyDescent="0.3">
      <c r="C139" s="2"/>
      <c r="D139" s="2"/>
      <c r="E139" s="2"/>
      <c r="F139" s="3"/>
    </row>
    <row r="140" spans="1:8" ht="15.6" x14ac:dyDescent="0.3">
      <c r="C140" s="2"/>
      <c r="D140" s="2"/>
      <c r="E140" s="2"/>
      <c r="F140" s="3"/>
    </row>
    <row r="141" spans="1:8" ht="15.6" x14ac:dyDescent="0.3">
      <c r="C141" s="2"/>
      <c r="D141" s="2"/>
      <c r="E141" s="2"/>
      <c r="F141" s="3"/>
    </row>
    <row r="142" spans="1:8" ht="15.6" x14ac:dyDescent="0.3">
      <c r="C142" s="2"/>
      <c r="D142" s="2"/>
      <c r="E142" s="4"/>
      <c r="F142" s="5"/>
    </row>
    <row r="143" spans="1:8" ht="15.6" x14ac:dyDescent="0.3">
      <c r="C143" s="2"/>
      <c r="D143" s="2"/>
      <c r="E143" s="4"/>
      <c r="F143" s="5"/>
    </row>
    <row r="144" spans="1:8" ht="15.6" x14ac:dyDescent="0.3">
      <c r="C144" s="2"/>
      <c r="D144" s="2"/>
      <c r="E144" s="4"/>
      <c r="F144" s="5"/>
    </row>
    <row r="145" spans="3:6" ht="15.6" x14ac:dyDescent="0.3">
      <c r="C145" s="2"/>
      <c r="D145" s="2"/>
      <c r="E145" s="2"/>
      <c r="F145" s="3"/>
    </row>
    <row r="146" spans="3:6" ht="15.6" x14ac:dyDescent="0.3">
      <c r="C146" s="2"/>
      <c r="D146" s="2"/>
      <c r="E146" s="4"/>
      <c r="F146" s="5"/>
    </row>
    <row r="147" spans="3:6" ht="15.6" x14ac:dyDescent="0.3">
      <c r="C147" s="2"/>
      <c r="D147" s="2"/>
      <c r="E147" s="4"/>
      <c r="F147" s="5"/>
    </row>
    <row r="148" spans="3:6" ht="15.6" x14ac:dyDescent="0.3">
      <c r="C148" s="2"/>
      <c r="D148" s="2"/>
      <c r="E148" s="4"/>
      <c r="F148" s="5"/>
    </row>
    <row r="149" spans="3:6" ht="15.6" x14ac:dyDescent="0.3">
      <c r="C149" s="2"/>
      <c r="D149" s="2"/>
      <c r="E149" s="4"/>
      <c r="F149" s="5"/>
    </row>
    <row r="150" spans="3:6" ht="15.6" x14ac:dyDescent="0.3">
      <c r="C150" s="2"/>
      <c r="D150" s="2"/>
      <c r="E150" s="2"/>
      <c r="F150" s="3"/>
    </row>
    <row r="151" spans="3:6" ht="15.6" x14ac:dyDescent="0.3">
      <c r="C151" s="2"/>
      <c r="D151" s="2"/>
      <c r="E151" s="2"/>
      <c r="F151" s="3"/>
    </row>
    <row r="152" spans="3:6" ht="15.6" x14ac:dyDescent="0.3">
      <c r="C152" s="2"/>
      <c r="D152" s="2"/>
      <c r="E152" s="2"/>
      <c r="F152" s="3"/>
    </row>
    <row r="153" spans="3:6" ht="15.6" x14ac:dyDescent="0.3">
      <c r="C153" s="2"/>
      <c r="D153" s="2"/>
      <c r="E153" s="4"/>
      <c r="F153" s="5"/>
    </row>
    <row r="154" spans="3:6" ht="15.6" x14ac:dyDescent="0.3">
      <c r="C154" s="2"/>
      <c r="D154" s="2"/>
      <c r="E154" s="4"/>
      <c r="F154" s="5"/>
    </row>
    <row r="155" spans="3:6" ht="15.6" x14ac:dyDescent="0.3">
      <c r="C155" s="2"/>
      <c r="D155" s="2"/>
      <c r="E155" s="4"/>
      <c r="F155" s="5"/>
    </row>
    <row r="156" spans="3:6" ht="15.6" x14ac:dyDescent="0.3">
      <c r="C156" s="2"/>
      <c r="D156" s="2"/>
      <c r="E156" s="4"/>
      <c r="F156" s="5"/>
    </row>
    <row r="157" spans="3:6" ht="15.6" x14ac:dyDescent="0.3">
      <c r="C157" s="2"/>
      <c r="D157" s="2"/>
      <c r="E157" s="4"/>
      <c r="F157" s="5"/>
    </row>
    <row r="158" spans="3:6" ht="15.6" x14ac:dyDescent="0.3">
      <c r="C158" s="2"/>
      <c r="D158" s="2"/>
      <c r="E158" s="4"/>
      <c r="F158" s="5"/>
    </row>
    <row r="159" spans="3:6" ht="15.6" x14ac:dyDescent="0.3">
      <c r="C159" s="2"/>
      <c r="D159" s="2"/>
      <c r="E159" s="4"/>
      <c r="F159" s="5"/>
    </row>
    <row r="160" spans="3:6" ht="15.6" x14ac:dyDescent="0.3">
      <c r="C160" s="2"/>
      <c r="D160" s="2"/>
      <c r="E160" s="4"/>
      <c r="F160" s="5"/>
    </row>
    <row r="161" spans="3:6" ht="15.6" x14ac:dyDescent="0.3">
      <c r="C161" s="2"/>
      <c r="D161" s="2"/>
      <c r="E161" s="4"/>
      <c r="F161" s="5"/>
    </row>
    <row r="162" spans="3:6" ht="15.6" x14ac:dyDescent="0.3">
      <c r="C162" s="2"/>
      <c r="D162" s="2"/>
      <c r="E162" s="4"/>
      <c r="F162" s="5"/>
    </row>
    <row r="163" spans="3:6" ht="15.6" x14ac:dyDescent="0.3">
      <c r="C163" s="2"/>
      <c r="D163" s="2"/>
      <c r="E163" s="4"/>
      <c r="F163" s="5"/>
    </row>
    <row r="164" spans="3:6" ht="15.6" x14ac:dyDescent="0.3">
      <c r="C164" s="2"/>
      <c r="D164" s="2"/>
      <c r="E164" s="4"/>
      <c r="F164" s="5"/>
    </row>
    <row r="165" spans="3:6" ht="15.6" x14ac:dyDescent="0.3">
      <c r="C165" s="2"/>
      <c r="D165" s="2"/>
      <c r="E165" s="4"/>
      <c r="F165" s="5"/>
    </row>
    <row r="166" spans="3:6" ht="15.6" x14ac:dyDescent="0.3">
      <c r="C166" s="2"/>
      <c r="D166" s="2"/>
      <c r="E166" s="4"/>
      <c r="F166" s="5"/>
    </row>
    <row r="167" spans="3:6" ht="15.6" x14ac:dyDescent="0.3">
      <c r="C167" s="2"/>
      <c r="D167" s="2"/>
      <c r="E167" s="4"/>
      <c r="F167" s="5"/>
    </row>
    <row r="168" spans="3:6" ht="15.6" x14ac:dyDescent="0.3">
      <c r="C168" s="2"/>
      <c r="D168" s="2"/>
      <c r="E168" s="4"/>
      <c r="F168" s="5"/>
    </row>
    <row r="169" spans="3:6" ht="15.6" x14ac:dyDescent="0.3">
      <c r="C169" s="2"/>
      <c r="D169" s="2"/>
      <c r="E169" s="4"/>
      <c r="F169" s="5"/>
    </row>
    <row r="170" spans="3:6" ht="15.6" x14ac:dyDescent="0.3">
      <c r="C170" s="2"/>
      <c r="D170" s="2"/>
      <c r="E170" s="4"/>
      <c r="F170" s="5"/>
    </row>
    <row r="171" spans="3:6" ht="15.6" x14ac:dyDescent="0.3">
      <c r="C171" s="2"/>
      <c r="D171" s="2"/>
      <c r="E171" s="2"/>
      <c r="F171" s="3"/>
    </row>
    <row r="172" spans="3:6" ht="15.6" x14ac:dyDescent="0.3">
      <c r="C172" s="2"/>
      <c r="D172" s="2"/>
      <c r="E172" s="4"/>
      <c r="F172" s="5"/>
    </row>
    <row r="173" spans="3:6" ht="15.6" x14ac:dyDescent="0.3">
      <c r="C173" s="2"/>
      <c r="D173" s="2"/>
      <c r="E173" s="4"/>
      <c r="F173" s="5"/>
    </row>
    <row r="174" spans="3:6" ht="15.6" x14ac:dyDescent="0.3">
      <c r="C174" s="2"/>
      <c r="D174" s="2"/>
      <c r="E174" s="4"/>
      <c r="F174" s="5"/>
    </row>
    <row r="175" spans="3:6" ht="15.6" x14ac:dyDescent="0.3">
      <c r="C175" s="2"/>
      <c r="D175" s="2"/>
      <c r="E175" s="2"/>
      <c r="F175" s="3"/>
    </row>
    <row r="176" spans="3:6" ht="15.6" x14ac:dyDescent="0.3">
      <c r="C176" s="2"/>
      <c r="D176" s="2"/>
      <c r="E176" s="2"/>
      <c r="F176" s="3"/>
    </row>
    <row r="177" spans="3:6" ht="15.6" x14ac:dyDescent="0.3">
      <c r="C177" s="2"/>
      <c r="D177" s="2"/>
      <c r="E177" s="2"/>
      <c r="F177" s="3"/>
    </row>
    <row r="178" spans="3:6" ht="15.6" x14ac:dyDescent="0.3">
      <c r="C178" s="2"/>
      <c r="D178" s="2"/>
      <c r="E178" s="2"/>
      <c r="F178" s="3"/>
    </row>
    <row r="179" spans="3:6" ht="15.6" x14ac:dyDescent="0.3">
      <c r="C179" s="2"/>
      <c r="D179" s="2"/>
      <c r="E179" s="2"/>
      <c r="F179" s="3"/>
    </row>
    <row r="180" spans="3:6" ht="15.6" x14ac:dyDescent="0.3">
      <c r="C180" s="2"/>
      <c r="D180" s="2"/>
      <c r="E180" s="2"/>
      <c r="F180" s="3"/>
    </row>
    <row r="181" spans="3:6" ht="15.6" x14ac:dyDescent="0.3">
      <c r="C181" s="2"/>
      <c r="D181" s="2"/>
      <c r="E181" s="2"/>
      <c r="F181" s="3"/>
    </row>
    <row r="182" spans="3:6" ht="15.6" x14ac:dyDescent="0.3">
      <c r="C182" s="2"/>
      <c r="D182" s="2"/>
      <c r="E182" s="2"/>
      <c r="F182" s="3"/>
    </row>
    <row r="183" spans="3:6" ht="15.6" x14ac:dyDescent="0.3">
      <c r="C183" s="2"/>
      <c r="D183" s="2"/>
      <c r="E183" s="2"/>
      <c r="F183" s="3"/>
    </row>
    <row r="184" spans="3:6" ht="15.6" x14ac:dyDescent="0.3">
      <c r="C184" s="2"/>
      <c r="D184" s="2"/>
      <c r="E184" s="2"/>
      <c r="F184" s="3"/>
    </row>
    <row r="185" spans="3:6" ht="15.6" x14ac:dyDescent="0.3">
      <c r="C185" s="2"/>
      <c r="D185" s="2"/>
      <c r="E185" s="2"/>
      <c r="F185" s="3"/>
    </row>
    <row r="186" spans="3:6" ht="15.6" x14ac:dyDescent="0.3">
      <c r="C186" s="2"/>
      <c r="D186" s="2"/>
      <c r="E186" s="4"/>
      <c r="F186" s="5"/>
    </row>
    <row r="187" spans="3:6" ht="15.6" x14ac:dyDescent="0.3">
      <c r="C187" s="2"/>
      <c r="D187" s="2"/>
      <c r="E187" s="4"/>
      <c r="F187" s="5"/>
    </row>
    <row r="188" spans="3:6" ht="15.6" x14ac:dyDescent="0.3">
      <c r="C188" s="2"/>
      <c r="D188" s="2"/>
      <c r="E188" s="4"/>
      <c r="F188" s="5"/>
    </row>
    <row r="189" spans="3:6" ht="15.6" x14ac:dyDescent="0.3">
      <c r="C189" s="2"/>
      <c r="D189" s="2"/>
      <c r="E189" s="4"/>
      <c r="F189" s="5"/>
    </row>
    <row r="190" spans="3:6" ht="15.6" x14ac:dyDescent="0.3">
      <c r="C190" s="2"/>
      <c r="D190" s="2"/>
      <c r="E190" s="4"/>
      <c r="F190" s="5"/>
    </row>
    <row r="191" spans="3:6" ht="15.6" x14ac:dyDescent="0.3">
      <c r="C191" s="2"/>
      <c r="D191" s="2"/>
      <c r="E191" s="4"/>
      <c r="F191" s="5"/>
    </row>
    <row r="192" spans="3:6" ht="15.6" x14ac:dyDescent="0.3">
      <c r="C192" s="2"/>
      <c r="D192" s="2"/>
      <c r="E192" s="4"/>
      <c r="F192" s="5"/>
    </row>
    <row r="193" spans="3:6" ht="15.6" x14ac:dyDescent="0.3">
      <c r="C193" s="2"/>
      <c r="D193" s="2"/>
      <c r="E193" s="4"/>
      <c r="F193" s="5"/>
    </row>
    <row r="194" spans="3:6" ht="15.6" x14ac:dyDescent="0.3">
      <c r="C194" s="2"/>
      <c r="D194" s="2"/>
      <c r="E194" s="6"/>
      <c r="F194" s="5"/>
    </row>
    <row r="195" spans="3:6" ht="15.6" x14ac:dyDescent="0.3">
      <c r="C195" s="2"/>
      <c r="D195" s="2"/>
      <c r="E195" s="6"/>
      <c r="F195" s="5"/>
    </row>
    <row r="196" spans="3:6" ht="15.6" x14ac:dyDescent="0.3">
      <c r="F196" s="7"/>
    </row>
  </sheetData>
  <mergeCells count="18">
    <mergeCell ref="E186:E191"/>
    <mergeCell ref="F186:F191"/>
    <mergeCell ref="E192:E193"/>
    <mergeCell ref="F192:F193"/>
    <mergeCell ref="E194:E195"/>
    <mergeCell ref="F194:F195"/>
    <mergeCell ref="E153:E154"/>
    <mergeCell ref="F153:F154"/>
    <mergeCell ref="E155:E170"/>
    <mergeCell ref="F155:F170"/>
    <mergeCell ref="E172:E174"/>
    <mergeCell ref="F172:F174"/>
    <mergeCell ref="A1:A3"/>
    <mergeCell ref="A65:A67"/>
    <mergeCell ref="E142:E144"/>
    <mergeCell ref="F142:F144"/>
    <mergeCell ref="E146:E149"/>
    <mergeCell ref="F146:F149"/>
  </mergeCells>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91312FC-590E-4D94-8B54-8BBE74FA20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BOM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Justin Li</dc:creator>
  <cp:lastModifiedBy>Justin Li</cp:lastModifiedBy>
  <dcterms:created xsi:type="dcterms:W3CDTF">2026-06-10T16:44:43Z</dcterms:created>
  <dcterms:modified xsi:type="dcterms:W3CDTF">2026-06-10T20:50:24Z</dcterms:modified>
</cp:coreProperties>
</file>